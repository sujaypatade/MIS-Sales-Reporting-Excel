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713FA8712EAFDC0/Pictures/Documents/"/>
    </mc:Choice>
  </mc:AlternateContent>
  <xr:revisionPtr revIDLastSave="28" documentId="8_{703F1AAE-819F-4CE5-9BFC-15EA82E9AFA9}" xr6:coauthVersionLast="47" xr6:coauthVersionMax="47" xr10:uidLastSave="{8F27A427-94C4-411D-ADC5-43990F2A16DD}"/>
  <bookViews>
    <workbookView xWindow="-108" yWindow="-108" windowWidth="23256" windowHeight="12456" tabRatio="500" activeTab="1" xr2:uid="{00000000-000D-0000-FFFF-FFFF00000000}"/>
  </bookViews>
  <sheets>
    <sheet name="Dashboard" sheetId="1" r:id="rId1"/>
    <sheet name="Summary" sheetId="2" r:id="rId2"/>
    <sheet name="Data" sheetId="3" r:id="rId3"/>
  </sheets>
  <definedNames>
    <definedName name="_xlnm._FilterDatabase" localSheetId="2" hidden="1">Data!$A$1:$J$151</definedName>
  </definedNames>
  <calcPr calcId="191029" iterateDelta="1E-4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5" i="1" l="1"/>
  <c r="I151" i="3"/>
  <c r="C151" i="3"/>
  <c r="I150" i="3"/>
  <c r="C150" i="3"/>
  <c r="I149" i="3"/>
  <c r="C149" i="3"/>
  <c r="I148" i="3"/>
  <c r="C148" i="3"/>
  <c r="I147" i="3"/>
  <c r="C147" i="3"/>
  <c r="I146" i="3"/>
  <c r="C146" i="3"/>
  <c r="I145" i="3"/>
  <c r="C145" i="3"/>
  <c r="I144" i="3"/>
  <c r="C144" i="3"/>
  <c r="I143" i="3"/>
  <c r="C143" i="3"/>
  <c r="I142" i="3"/>
  <c r="C142" i="3"/>
  <c r="I141" i="3"/>
  <c r="C141" i="3"/>
  <c r="I140" i="3"/>
  <c r="C140" i="3"/>
  <c r="I139" i="3"/>
  <c r="C139" i="3"/>
  <c r="I138" i="3"/>
  <c r="C138" i="3"/>
  <c r="I137" i="3"/>
  <c r="C137" i="3"/>
  <c r="I136" i="3"/>
  <c r="C136" i="3"/>
  <c r="I135" i="3"/>
  <c r="C135" i="3"/>
  <c r="I134" i="3"/>
  <c r="C134" i="3"/>
  <c r="I133" i="3"/>
  <c r="C133" i="3"/>
  <c r="I132" i="3"/>
  <c r="C132" i="3"/>
  <c r="I131" i="3"/>
  <c r="C131" i="3"/>
  <c r="I130" i="3"/>
  <c r="C130" i="3"/>
  <c r="I129" i="3"/>
  <c r="C129" i="3"/>
  <c r="I128" i="3"/>
  <c r="C128" i="3"/>
  <c r="I127" i="3"/>
  <c r="C127" i="3"/>
  <c r="I126" i="3"/>
  <c r="C126" i="3"/>
  <c r="I125" i="3"/>
  <c r="C125" i="3"/>
  <c r="I124" i="3"/>
  <c r="C124" i="3"/>
  <c r="I123" i="3"/>
  <c r="C123" i="3"/>
  <c r="I122" i="3"/>
  <c r="C122" i="3"/>
  <c r="I121" i="3"/>
  <c r="C121" i="3"/>
  <c r="I120" i="3"/>
  <c r="C120" i="3"/>
  <c r="I119" i="3"/>
  <c r="C119" i="3"/>
  <c r="I118" i="3"/>
  <c r="C118" i="3"/>
  <c r="I117" i="3"/>
  <c r="C117" i="3"/>
  <c r="I116" i="3"/>
  <c r="C116" i="3"/>
  <c r="I115" i="3"/>
  <c r="C115" i="3"/>
  <c r="I114" i="3"/>
  <c r="C114" i="3"/>
  <c r="I113" i="3"/>
  <c r="C113" i="3"/>
  <c r="I112" i="3"/>
  <c r="C112" i="3"/>
  <c r="I111" i="3"/>
  <c r="C111" i="3"/>
  <c r="I110" i="3"/>
  <c r="C110" i="3"/>
  <c r="I109" i="3"/>
  <c r="C109" i="3"/>
  <c r="I108" i="3"/>
  <c r="C108" i="3"/>
  <c r="I107" i="3"/>
  <c r="C107" i="3"/>
  <c r="I106" i="3"/>
  <c r="C106" i="3"/>
  <c r="I105" i="3"/>
  <c r="C105" i="3"/>
  <c r="I104" i="3"/>
  <c r="C104" i="3"/>
  <c r="I103" i="3"/>
  <c r="C103" i="3"/>
  <c r="I102" i="3"/>
  <c r="C102" i="3"/>
  <c r="I101" i="3"/>
  <c r="C101" i="3"/>
  <c r="I100" i="3"/>
  <c r="C100" i="3"/>
  <c r="I99" i="3"/>
  <c r="C99" i="3"/>
  <c r="I98" i="3"/>
  <c r="C98" i="3"/>
  <c r="I97" i="3"/>
  <c r="C97" i="3"/>
  <c r="I96" i="3"/>
  <c r="C96" i="3"/>
  <c r="I95" i="3"/>
  <c r="C95" i="3"/>
  <c r="I94" i="3"/>
  <c r="C94" i="3"/>
  <c r="I93" i="3"/>
  <c r="C93" i="3"/>
  <c r="I92" i="3"/>
  <c r="C92" i="3"/>
  <c r="I91" i="3"/>
  <c r="C91" i="3"/>
  <c r="I90" i="3"/>
  <c r="C90" i="3"/>
  <c r="I89" i="3"/>
  <c r="C89" i="3"/>
  <c r="I88" i="3"/>
  <c r="C88" i="3"/>
  <c r="I87" i="3"/>
  <c r="C87" i="3"/>
  <c r="I86" i="3"/>
  <c r="C86" i="3"/>
  <c r="I85" i="3"/>
  <c r="C85" i="3"/>
  <c r="I84" i="3"/>
  <c r="C84" i="3"/>
  <c r="I83" i="3"/>
  <c r="C83" i="3"/>
  <c r="I82" i="3"/>
  <c r="C82" i="3"/>
  <c r="I81" i="3"/>
  <c r="C81" i="3"/>
  <c r="I80" i="3"/>
  <c r="C80" i="3"/>
  <c r="I79" i="3"/>
  <c r="C79" i="3"/>
  <c r="I78" i="3"/>
  <c r="C78" i="3"/>
  <c r="I77" i="3"/>
  <c r="C77" i="3"/>
  <c r="I76" i="3"/>
  <c r="C76" i="3"/>
  <c r="I75" i="3"/>
  <c r="C75" i="3"/>
  <c r="I74" i="3"/>
  <c r="C74" i="3"/>
  <c r="I73" i="3"/>
  <c r="C73" i="3"/>
  <c r="I72" i="3"/>
  <c r="C72" i="3"/>
  <c r="I71" i="3"/>
  <c r="C71" i="3"/>
  <c r="I70" i="3"/>
  <c r="C70" i="3"/>
  <c r="I69" i="3"/>
  <c r="C69" i="3"/>
  <c r="I68" i="3"/>
  <c r="C68" i="3"/>
  <c r="I67" i="3"/>
  <c r="C67" i="3"/>
  <c r="I66" i="3"/>
  <c r="C66" i="3"/>
  <c r="I65" i="3"/>
  <c r="C65" i="3"/>
  <c r="I64" i="3"/>
  <c r="C64" i="3"/>
  <c r="I63" i="3"/>
  <c r="C63" i="3"/>
  <c r="I62" i="3"/>
  <c r="C62" i="3"/>
  <c r="I61" i="3"/>
  <c r="C61" i="3"/>
  <c r="I60" i="3"/>
  <c r="C60" i="3"/>
  <c r="I59" i="3"/>
  <c r="C59" i="3"/>
  <c r="I58" i="3"/>
  <c r="C58" i="3"/>
  <c r="I57" i="3"/>
  <c r="C57" i="3"/>
  <c r="I56" i="3"/>
  <c r="C56" i="3"/>
  <c r="I55" i="3"/>
  <c r="C55" i="3"/>
  <c r="I54" i="3"/>
  <c r="C54" i="3"/>
  <c r="I53" i="3"/>
  <c r="C53" i="3"/>
  <c r="I52" i="3"/>
  <c r="C52" i="3"/>
  <c r="I51" i="3"/>
  <c r="C51" i="3"/>
  <c r="I50" i="3"/>
  <c r="C50" i="3"/>
  <c r="I49" i="3"/>
  <c r="C49" i="3"/>
  <c r="I48" i="3"/>
  <c r="C48" i="3"/>
  <c r="I47" i="3"/>
  <c r="C47" i="3"/>
  <c r="I46" i="3"/>
  <c r="C46" i="3"/>
  <c r="I45" i="3"/>
  <c r="C45" i="3"/>
  <c r="I44" i="3"/>
  <c r="C44" i="3"/>
  <c r="I43" i="3"/>
  <c r="C43" i="3"/>
  <c r="I42" i="3"/>
  <c r="C42" i="3"/>
  <c r="I41" i="3"/>
  <c r="C41" i="3"/>
  <c r="I40" i="3"/>
  <c r="C40" i="3"/>
  <c r="I39" i="3"/>
  <c r="C39" i="3"/>
  <c r="I38" i="3"/>
  <c r="C38" i="3"/>
  <c r="I37" i="3"/>
  <c r="C37" i="3"/>
  <c r="I36" i="3"/>
  <c r="C36" i="3"/>
  <c r="I35" i="3"/>
  <c r="C35" i="3"/>
  <c r="I34" i="3"/>
  <c r="C34" i="3"/>
  <c r="I33" i="3"/>
  <c r="C33" i="3"/>
  <c r="I32" i="3"/>
  <c r="C32" i="3"/>
  <c r="I31" i="3"/>
  <c r="C31" i="3"/>
  <c r="I30" i="3"/>
  <c r="C30" i="3"/>
  <c r="I29" i="3"/>
  <c r="C29" i="3"/>
  <c r="I28" i="3"/>
  <c r="C28" i="3"/>
  <c r="I27" i="3"/>
  <c r="C27" i="3"/>
  <c r="I26" i="3"/>
  <c r="C26" i="3"/>
  <c r="I25" i="3"/>
  <c r="C25" i="3"/>
  <c r="I24" i="3"/>
  <c r="C24" i="3"/>
  <c r="I23" i="3"/>
  <c r="C23" i="3"/>
  <c r="I22" i="3"/>
  <c r="C22" i="3"/>
  <c r="I21" i="3"/>
  <c r="C21" i="3"/>
  <c r="I20" i="3"/>
  <c r="C20" i="3"/>
  <c r="I19" i="3"/>
  <c r="C19" i="3"/>
  <c r="I18" i="3"/>
  <c r="C18" i="3"/>
  <c r="I17" i="3"/>
  <c r="C17" i="3"/>
  <c r="I16" i="3"/>
  <c r="C16" i="3"/>
  <c r="I15" i="3"/>
  <c r="C15" i="3"/>
  <c r="I14" i="3"/>
  <c r="C14" i="3"/>
  <c r="I13" i="3"/>
  <c r="C13" i="3"/>
  <c r="I12" i="3"/>
  <c r="C12" i="3"/>
  <c r="I11" i="3"/>
  <c r="C11" i="3"/>
  <c r="I10" i="3"/>
  <c r="C10" i="3"/>
  <c r="I9" i="3"/>
  <c r="C9" i="3"/>
  <c r="I8" i="3"/>
  <c r="C8" i="3"/>
  <c r="I7" i="3"/>
  <c r="C7" i="3"/>
  <c r="I6" i="3"/>
  <c r="C6" i="3"/>
  <c r="I5" i="3"/>
  <c r="C5" i="3"/>
  <c r="I4" i="3"/>
  <c r="C4" i="3"/>
  <c r="I3" i="3"/>
  <c r="C3" i="3"/>
  <c r="I2" i="3"/>
  <c r="C2" i="3"/>
  <c r="C32" i="2"/>
  <c r="B32" i="2"/>
  <c r="C31" i="2"/>
  <c r="B31" i="2"/>
  <c r="C30" i="2"/>
  <c r="B30" i="2"/>
  <c r="C29" i="2"/>
  <c r="B29" i="2"/>
  <c r="C28" i="2"/>
  <c r="B28" i="2"/>
  <c r="C27" i="2"/>
  <c r="C33" i="2" s="1"/>
  <c r="B27" i="2"/>
  <c r="B33" i="2" s="1"/>
  <c r="C22" i="2"/>
  <c r="E22" i="2" s="1"/>
  <c r="C21" i="2"/>
  <c r="E21" i="2" s="1"/>
  <c r="C20" i="2"/>
  <c r="E20" i="2" s="1"/>
  <c r="C19" i="2"/>
  <c r="E19" i="2" s="1"/>
  <c r="C18" i="2"/>
  <c r="E18" i="2" s="1"/>
  <c r="C17" i="2"/>
  <c r="E17" i="2" s="1"/>
  <c r="C16" i="2"/>
  <c r="E16" i="2" s="1"/>
  <c r="C15" i="2"/>
  <c r="E15" i="2" s="1"/>
  <c r="D9" i="2"/>
  <c r="C9" i="2"/>
  <c r="E9" i="2" s="1"/>
  <c r="B9" i="2"/>
  <c r="D8" i="2"/>
  <c r="C8" i="2"/>
  <c r="B8" i="2"/>
  <c r="E8" i="2" s="1"/>
  <c r="D7" i="2"/>
  <c r="C7" i="2"/>
  <c r="E7" i="2" s="1"/>
  <c r="B7" i="2"/>
  <c r="D6" i="2"/>
  <c r="D10" i="2" s="1"/>
  <c r="C6" i="2"/>
  <c r="C10" i="2" s="1"/>
  <c r="B6" i="2"/>
  <c r="E6" i="2" s="1"/>
  <c r="G5" i="1" l="1"/>
  <c r="B10" i="2"/>
  <c r="C5" i="1" s="1"/>
  <c r="E10" i="2" l="1"/>
  <c r="E5" i="1" s="1"/>
</calcChain>
</file>

<file path=xl/sharedStrings.xml><?xml version="1.0" encoding="utf-8"?>
<sst xmlns="http://schemas.openxmlformats.org/spreadsheetml/2006/main" count="842" uniqueCount="219">
  <si>
    <t>Sales MIS Dashboard</t>
  </si>
  <si>
    <t>Jan to Jun 2026 | Simulated practice data | Updates automatically from the Data sheet</t>
  </si>
  <si>
    <t>Total Sales (INR)</t>
  </si>
  <si>
    <t>Closed Orders</t>
  </si>
  <si>
    <t>Cancellation Rate</t>
  </si>
  <si>
    <t>Best Region</t>
  </si>
  <si>
    <t>Closed Sales by Region (INR)</t>
  </si>
  <si>
    <t>Closed Sales by Month (INR)</t>
  </si>
  <si>
    <t>How to read this dashboard</t>
  </si>
  <si>
    <t>Total Sales counts only Closed orders. Cancelled orders are left out.</t>
  </si>
  <si>
    <t>Cancellation Rate = Cancelled Orders / Total Orders.</t>
  </si>
  <si>
    <t>Best Region = the region with the highest Closed Sales (INDEX + MATCH + MAX).</t>
  </si>
  <si>
    <t>Flow: Data (raw orders) -&gt; Summary (SUMIFS / COUNTIFS) -&gt; Dashboard (KPIs + charts).</t>
  </si>
  <si>
    <t>Summary Tables</t>
  </si>
  <si>
    <t>Every number here is a formula that reads the Data sheet. Sales count Closed orders only.</t>
  </si>
  <si>
    <t>1. Sales by Region</t>
  </si>
  <si>
    <t>Region</t>
  </si>
  <si>
    <t>Total Orders</t>
  </si>
  <si>
    <t>Cancelled Orders</t>
  </si>
  <si>
    <t>Closed Sales (INR)</t>
  </si>
  <si>
    <t>Cancellation %</t>
  </si>
  <si>
    <t>North</t>
  </si>
  <si>
    <t>SUMIFS adds up Sales where Region matches AND Status is Closed.</t>
  </si>
  <si>
    <t>South</t>
  </si>
  <si>
    <t>COUNTIFS counts orders that match both conditions.</t>
  </si>
  <si>
    <t>East</t>
  </si>
  <si>
    <t>West</t>
  </si>
  <si>
    <t>Total</t>
  </si>
  <si>
    <t>2. Salesperson vs Target</t>
  </si>
  <si>
    <t>Salesperson</t>
  </si>
  <si>
    <t>Target (INR)</t>
  </si>
  <si>
    <t>Achievement %</t>
  </si>
  <si>
    <t>Amit Verma</t>
  </si>
  <si>
    <t>Targets (blue) are assumed values. Change one and Achievement % updates.</t>
  </si>
  <si>
    <t>Neha Singh</t>
  </si>
  <si>
    <t>Achievement % = Closed Sales / Target.</t>
  </si>
  <si>
    <t>Karthik Iyer</t>
  </si>
  <si>
    <t>Divya Nair</t>
  </si>
  <si>
    <t>Subho Das</t>
  </si>
  <si>
    <t>Riya Ghosh</t>
  </si>
  <si>
    <t>Rahul Patil</t>
  </si>
  <si>
    <t>Sneha Kulkarni</t>
  </si>
  <si>
    <t>3. Sales by Month</t>
  </si>
  <si>
    <t>Month</t>
  </si>
  <si>
    <t>Jan</t>
  </si>
  <si>
    <t>Check: this total should equal the Region table total.</t>
  </si>
  <si>
    <t>Feb</t>
  </si>
  <si>
    <t>Mar</t>
  </si>
  <si>
    <t>Apr</t>
  </si>
  <si>
    <t>May</t>
  </si>
  <si>
    <t>Jun</t>
  </si>
  <si>
    <t>4. PivotTable: Sales by Region and Category (Closed orders)</t>
  </si>
  <si>
    <t>Real Excel PivotTable built from the Data sheet. Right-click it and choose Refresh after changing data.</t>
  </si>
  <si>
    <t>Filter</t>
  </si>
  <si>
    <t>Status</t>
  </si>
  <si>
    <t>Closed</t>
  </si>
  <si>
    <t>Sum - Sales (INR)</t>
  </si>
  <si>
    <t>Category</t>
  </si>
  <si>
    <t>Appliances</t>
  </si>
  <si>
    <t>Electronics</t>
  </si>
  <si>
    <t>Furniture</t>
  </si>
  <si>
    <t>Stationery</t>
  </si>
  <si>
    <t>Total Result</t>
  </si>
  <si>
    <t>Order ID</t>
  </si>
  <si>
    <t>Order Date</t>
  </si>
  <si>
    <t>Units</t>
  </si>
  <si>
    <t>Unit Price (INR)</t>
  </si>
  <si>
    <t>Sales (INR)</t>
  </si>
  <si>
    <t>ORD-1001</t>
  </si>
  <si>
    <t>ORD-1002</t>
  </si>
  <si>
    <t>ORD-1003</t>
  </si>
  <si>
    <t>ORD-1004</t>
  </si>
  <si>
    <t>Cancelled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</si>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</sst>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1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9"/>
      <color rgb="FF595959"/>
      <name val="Arial"/>
      <charset val="1"/>
    </font>
    <font>
      <b/>
      <sz val="9"/>
      <color rgb="FF1F4E79"/>
      <name val="Arial"/>
      <charset val="1"/>
    </font>
    <font>
      <b/>
      <sz val="15"/>
      <name val="Arial"/>
      <charset val="1"/>
    </font>
    <font>
      <b/>
      <sz val="11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  <fill>
      <patternFill patternType="solid">
        <fgColor rgb="FF1F4E79"/>
        <bgColor rgb="FF003366"/>
      </patternFill>
    </fill>
    <fill>
      <patternFill patternType="solid">
        <fgColor theme="0"/>
        <bgColor rgb="FFFFFFFF"/>
      </patternFill>
    </fill>
  </fills>
  <borders count="2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48">
    <xf numFmtId="0" fontId="0" fillId="0" borderId="0" xfId="0"/>
    <xf numFmtId="49" fontId="5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3" fontId="8" fillId="0" borderId="1" xfId="0" applyNumberFormat="1" applyFont="1" applyBorder="1"/>
    <xf numFmtId="164" fontId="8" fillId="0" borderId="1" xfId="0" applyNumberFormat="1" applyFont="1" applyBorder="1"/>
    <xf numFmtId="0" fontId="9" fillId="0" borderId="1" xfId="0" applyFont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3" fontId="10" fillId="0" borderId="1" xfId="0" applyNumberFormat="1" applyFont="1" applyBorder="1"/>
    <xf numFmtId="0" fontId="11" fillId="0" borderId="0" xfId="1"/>
    <xf numFmtId="0" fontId="0" fillId="0" borderId="2" xfId="0" applyBorder="1"/>
    <xf numFmtId="0" fontId="11" fillId="0" borderId="3" xfId="2" applyBorder="1"/>
    <xf numFmtId="0" fontId="11" fillId="0" borderId="4" xfId="1" applyBorder="1"/>
    <xf numFmtId="0" fontId="11" fillId="0" borderId="5" xfId="2" applyBorder="1"/>
    <xf numFmtId="0" fontId="11" fillId="0" borderId="6" xfId="2" applyBorder="1"/>
    <xf numFmtId="0" fontId="11" fillId="0" borderId="7" xfId="1" applyBorder="1"/>
    <xf numFmtId="0" fontId="11" fillId="0" borderId="8" xfId="4" applyBorder="1">
      <alignment horizontal="left"/>
    </xf>
    <xf numFmtId="0" fontId="11" fillId="0" borderId="9" xfId="4" applyBorder="1">
      <alignment horizontal="left"/>
    </xf>
    <xf numFmtId="0" fontId="1" fillId="0" borderId="10" xfId="5" applyBorder="1">
      <alignment horizontal="left"/>
    </xf>
    <xf numFmtId="0" fontId="11" fillId="0" borderId="11" xfId="4" applyBorder="1">
      <alignment horizontal="left"/>
    </xf>
    <xf numFmtId="3" fontId="11" fillId="0" borderId="12" xfId="3" applyNumberFormat="1" applyBorder="1"/>
    <xf numFmtId="3" fontId="11" fillId="0" borderId="13" xfId="3" applyNumberFormat="1" applyBorder="1"/>
    <xf numFmtId="3" fontId="11" fillId="0" borderId="14" xfId="3" applyNumberFormat="1" applyBorder="1"/>
    <xf numFmtId="3" fontId="1" fillId="0" borderId="15" xfId="6" applyNumberFormat="1" applyBorder="1"/>
    <xf numFmtId="0" fontId="11" fillId="0" borderId="16" xfId="4" applyBorder="1">
      <alignment horizontal="left"/>
    </xf>
    <xf numFmtId="3" fontId="11" fillId="0" borderId="17" xfId="3" applyNumberFormat="1" applyBorder="1"/>
    <xf numFmtId="3" fontId="11" fillId="0" borderId="0" xfId="3" applyNumberFormat="1"/>
    <xf numFmtId="3" fontId="11" fillId="0" borderId="18" xfId="3" applyNumberFormat="1" applyBorder="1"/>
    <xf numFmtId="3" fontId="1" fillId="0" borderId="19" xfId="6" applyNumberFormat="1" applyBorder="1"/>
    <xf numFmtId="3" fontId="11" fillId="0" borderId="8" xfId="3" applyNumberFormat="1" applyBorder="1"/>
    <xf numFmtId="3" fontId="11" fillId="0" borderId="9" xfId="3" applyNumberFormat="1" applyBorder="1"/>
    <xf numFmtId="3" fontId="11" fillId="0" borderId="20" xfId="3" applyNumberFormat="1" applyBorder="1"/>
    <xf numFmtId="3" fontId="1" fillId="0" borderId="21" xfId="6" applyNumberFormat="1" applyBorder="1"/>
    <xf numFmtId="0" fontId="1" fillId="0" borderId="22" xfId="5" applyBorder="1">
      <alignment horizontal="left"/>
    </xf>
    <xf numFmtId="3" fontId="1" fillId="0" borderId="23" xfId="6" applyNumberFormat="1" applyBorder="1"/>
    <xf numFmtId="3" fontId="1" fillId="0" borderId="24" xfId="6" applyNumberFormat="1" applyBorder="1"/>
    <xf numFmtId="3" fontId="1" fillId="0" borderId="25" xfId="6" applyNumberFormat="1" applyBorder="1"/>
    <xf numFmtId="3" fontId="1" fillId="0" borderId="26" xfId="6" applyNumberFormat="1" applyBorder="1"/>
    <xf numFmtId="0" fontId="10" fillId="0" borderId="1" xfId="0" applyFont="1" applyBorder="1"/>
    <xf numFmtId="165" fontId="10" fillId="0" borderId="1" xfId="0" applyNumberFormat="1" applyFont="1" applyBorder="1"/>
    <xf numFmtId="0" fontId="3" fillId="4" borderId="2" xfId="0" applyFont="1" applyFill="1" applyBorder="1"/>
  </cellXfs>
  <cellStyles count="7">
    <cellStyle name="Normal" xfId="0" builtinId="0"/>
    <cellStyle name="Pivot Table Category" xfId="4" xr:uid="{00000000-0005-0000-0000-000009000000}"/>
    <cellStyle name="Pivot Table Corner" xfId="2" xr:uid="{00000000-0005-0000-0000-000007000000}"/>
    <cellStyle name="Pivot Table Field" xfId="1" xr:uid="{00000000-0005-0000-0000-000006000000}"/>
    <cellStyle name="Pivot Table Result" xfId="6" xr:uid="{00000000-0005-0000-0000-00000B000000}"/>
    <cellStyle name="Pivot Table Title" xfId="5" xr:uid="{00000000-0005-0000-0000-00000A000000}"/>
    <cellStyle name="Pivot Table Value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20937939247903728"/>
          <c:y val="7.3977135980746095E-2"/>
          <c:w val="0.73785892828704569"/>
          <c:h val="0.822904902959054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Summary!$D$5</c:f>
              <c:strCache>
                <c:ptCount val="1"/>
                <c:pt idx="0">
                  <c:v>Closed Sales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Summary!$D$6:$D$9</c:f>
              <c:numCache>
                <c:formatCode>#,##0</c:formatCode>
                <c:ptCount val="4"/>
                <c:pt idx="0">
                  <c:v>516850</c:v>
                </c:pt>
                <c:pt idx="1">
                  <c:v>640700</c:v>
                </c:pt>
                <c:pt idx="2">
                  <c:v>635800</c:v>
                </c:pt>
                <c:pt idx="3">
                  <c:v>600450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C-45B7-98BD-17692F3F6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092080"/>
        <c:axId val="78594610"/>
      </c:barChart>
      <c:catAx>
        <c:axId val="340920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594610"/>
        <c:crosses val="autoZero"/>
        <c:auto val="1"/>
        <c:lblAlgn val="ctr"/>
        <c:lblOffset val="100"/>
        <c:noMultiLvlLbl val="0"/>
      </c:catAx>
      <c:valAx>
        <c:axId val="785946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0920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Summary!$C$26</c:f>
              <c:strCache>
                <c:ptCount val="1"/>
                <c:pt idx="0">
                  <c:v>Closed Sales (INR)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Summary!$A$27:$A$32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Summary!$C$27:$C$32</c:f>
              <c:numCache>
                <c:formatCode>#,##0</c:formatCode>
                <c:ptCount val="6"/>
                <c:pt idx="0">
                  <c:v>581600</c:v>
                </c:pt>
                <c:pt idx="1">
                  <c:v>321350</c:v>
                </c:pt>
                <c:pt idx="2">
                  <c:v>452450</c:v>
                </c:pt>
                <c:pt idx="3">
                  <c:v>386250</c:v>
                </c:pt>
                <c:pt idx="4">
                  <c:v>282050</c:v>
                </c:pt>
                <c:pt idx="5">
                  <c:v>370100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F-4962-A747-C49BB1868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495733"/>
        <c:axId val="43579761"/>
      </c:lineChart>
      <c:catAx>
        <c:axId val="824957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579761"/>
        <c:crosses val="autoZero"/>
        <c:auto val="1"/>
        <c:lblAlgn val="ctr"/>
        <c:lblOffset val="100"/>
        <c:noMultiLvlLbl val="0"/>
      </c:catAx>
      <c:valAx>
        <c:axId val="435797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4957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69720</xdr:rowOff>
    </xdr:from>
    <xdr:to>
      <xdr:col>3</xdr:col>
      <xdr:colOff>625320</xdr:colOff>
      <xdr:row>21</xdr:row>
      <xdr:rowOff>102120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7</xdr:row>
      <xdr:rowOff>77340</xdr:rowOff>
    </xdr:from>
    <xdr:to>
      <xdr:col>7</xdr:col>
      <xdr:colOff>625320</xdr:colOff>
      <xdr:row>21</xdr:row>
      <xdr:rowOff>109740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50" xr:uid="{00000000-000A-0000-FFFF-FFFF01000000}">
  <cacheSource type="worksheet">
    <worksheetSource ref="A1:J151" sheet="Data"/>
  </cacheSource>
  <cacheFields count="10">
    <cacheField name="Order ID" numFmtId="0">
      <sharedItems count="150">
        <s v="ORD-1001"/>
        <s v="ORD-1002"/>
        <s v="ORD-1003"/>
        <s v="ORD-1004"/>
        <s v="ORD-1005"/>
        <s v="ORD-1006"/>
        <s v="ORD-1007"/>
        <s v="ORD-1008"/>
        <s v="ORD-1009"/>
        <s v="ORD-1010"/>
        <s v="ORD-1011"/>
        <s v="ORD-1012"/>
        <s v="ORD-1013"/>
        <s v="ORD-1014"/>
        <s v="ORD-1015"/>
        <s v="ORD-1016"/>
        <s v="ORD-1017"/>
        <s v="ORD-1018"/>
        <s v="ORD-1019"/>
        <s v="ORD-1020"/>
        <s v="ORD-1021"/>
        <s v="ORD-1022"/>
        <s v="ORD-1023"/>
        <s v="ORD-1024"/>
        <s v="ORD-1025"/>
        <s v="ORD-1026"/>
        <s v="ORD-1027"/>
        <s v="ORD-1028"/>
        <s v="ORD-1029"/>
        <s v="ORD-1030"/>
        <s v="ORD-1031"/>
        <s v="ORD-1032"/>
        <s v="ORD-1033"/>
        <s v="ORD-1034"/>
        <s v="ORD-1035"/>
        <s v="ORD-1036"/>
        <s v="ORD-1037"/>
        <s v="ORD-1038"/>
        <s v="ORD-1039"/>
        <s v="ORD-1040"/>
        <s v="ORD-1041"/>
        <s v="ORD-1042"/>
        <s v="ORD-1043"/>
        <s v="ORD-1044"/>
        <s v="ORD-1045"/>
        <s v="ORD-1046"/>
        <s v="ORD-1047"/>
        <s v="ORD-1048"/>
        <s v="ORD-1049"/>
        <s v="ORD-1050"/>
        <s v="ORD-1051"/>
        <s v="ORD-1052"/>
        <s v="ORD-1053"/>
        <s v="ORD-1054"/>
        <s v="ORD-1055"/>
        <s v="ORD-1056"/>
        <s v="ORD-1057"/>
        <s v="ORD-1058"/>
        <s v="ORD-1059"/>
        <s v="ORD-1060"/>
        <s v="ORD-1061"/>
        <s v="ORD-1062"/>
        <s v="ORD-1063"/>
        <s v="ORD-1064"/>
        <s v="ORD-1065"/>
        <s v="ORD-1066"/>
        <s v="ORD-1067"/>
        <s v="ORD-1068"/>
        <s v="ORD-1069"/>
        <s v="ORD-1070"/>
        <s v="ORD-1071"/>
        <s v="ORD-1072"/>
        <s v="ORD-1073"/>
        <s v="ORD-1074"/>
        <s v="ORD-1075"/>
        <s v="ORD-1076"/>
        <s v="ORD-1077"/>
        <s v="ORD-1078"/>
        <s v="ORD-1079"/>
        <s v="ORD-1080"/>
        <s v="ORD-1081"/>
        <s v="ORD-1082"/>
        <s v="ORD-1083"/>
        <s v="ORD-1084"/>
        <s v="ORD-1085"/>
        <s v="ORD-1086"/>
        <s v="ORD-1087"/>
        <s v="ORD-1088"/>
        <s v="ORD-1089"/>
        <s v="ORD-1090"/>
        <s v="ORD-1091"/>
        <s v="ORD-1092"/>
        <s v="ORD-1093"/>
        <s v="ORD-1094"/>
        <s v="ORD-1095"/>
        <s v="ORD-1096"/>
        <s v="ORD-1097"/>
        <s v="ORD-1098"/>
        <s v="ORD-1099"/>
        <s v="ORD-1100"/>
        <s v="ORD-1101"/>
        <s v="ORD-1102"/>
        <s v="ORD-1103"/>
        <s v="ORD-1104"/>
        <s v="ORD-1105"/>
        <s v="ORD-1106"/>
        <s v="ORD-1107"/>
        <s v="ORD-1108"/>
        <s v="ORD-1109"/>
        <s v="ORD-1110"/>
        <s v="ORD-1111"/>
        <s v="ORD-1112"/>
        <s v="ORD-1113"/>
        <s v="ORD-1114"/>
        <s v="ORD-1115"/>
        <s v="ORD-1116"/>
        <s v="ORD-1117"/>
        <s v="ORD-1118"/>
        <s v="ORD-1119"/>
        <s v="ORD-1120"/>
        <s v="ORD-1121"/>
        <s v="ORD-1122"/>
        <s v="ORD-1123"/>
        <s v="ORD-1124"/>
        <s v="ORD-1125"/>
        <s v="ORD-1126"/>
        <s v="ORD-1127"/>
        <s v="ORD-1128"/>
        <s v="ORD-1129"/>
        <s v="ORD-1130"/>
        <s v="ORD-1131"/>
        <s v="ORD-1132"/>
        <s v="ORD-1133"/>
        <s v="ORD-1134"/>
        <s v="ORD-1135"/>
        <s v="ORD-1136"/>
        <s v="ORD-1137"/>
        <s v="ORD-1138"/>
        <s v="ORD-1139"/>
        <s v="ORD-1140"/>
        <s v="ORD-1141"/>
        <s v="ORD-1142"/>
        <s v="ORD-1143"/>
        <s v="ORD-1144"/>
        <s v="ORD-1145"/>
        <s v="ORD-1146"/>
        <s v="ORD-1147"/>
        <s v="ORD-1148"/>
        <s v="ORD-1149"/>
        <s v="ORD-1150"/>
      </sharedItems>
    </cacheField>
    <cacheField name="Order Date" numFmtId="0">
      <sharedItems containsSemiMixedTypes="0" containsNonDate="0" containsDate="1" containsString="0" minDate="2026-01-04T00:00:00" maxDate="2026-06-30T00:00:00" count="105">
        <d v="2026-01-04T00:00:00"/>
        <d v="2026-01-05T00:00:00"/>
        <d v="2026-01-06T00:00:00"/>
        <d v="2026-01-07T00:00:00"/>
        <d v="2026-01-08T00:00:00"/>
        <d v="2026-01-13T00:00:00"/>
        <d v="2026-01-14T00:00:00"/>
        <d v="2026-01-16T00:00:00"/>
        <d v="2026-01-17T00:00:00"/>
        <d v="2026-01-19T00:00:00"/>
        <d v="2026-01-21T00:00:00"/>
        <d v="2026-01-22T00:00:00"/>
        <d v="2026-01-24T00:00:00"/>
        <d v="2026-01-25T00:00:00"/>
        <d v="2026-01-26T00:00:00"/>
        <d v="2026-01-27T00:00:00"/>
        <d v="2026-01-28T00:00:00"/>
        <d v="2026-01-29T00:00:00"/>
        <d v="2026-02-01T00:00:00"/>
        <d v="2026-02-02T00:00:00"/>
        <d v="2026-02-03T00:00:00"/>
        <d v="2026-02-04T00:00:00"/>
        <d v="2026-02-06T00:00:00"/>
        <d v="2026-02-07T00:00:00"/>
        <d v="2026-02-08T00:00:00"/>
        <d v="2026-02-10T00:00:00"/>
        <d v="2026-02-11T00:00:00"/>
        <d v="2026-02-12T00:00:00"/>
        <d v="2026-02-19T00:00:00"/>
        <d v="2026-02-20T00:00:00"/>
        <d v="2026-02-22T00:00:00"/>
        <d v="2026-02-23T00:00:00"/>
        <d v="2026-02-24T00:00:00"/>
        <d v="2026-02-26T00:00:00"/>
        <d v="2026-02-27T00:00:00"/>
        <d v="2026-02-28T00:00:00"/>
        <d v="2026-03-01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1T00:00:00"/>
        <d v="2026-03-12T00:00:00"/>
        <d v="2026-03-13T00:00:00"/>
        <d v="2026-03-14T00:00:00"/>
        <d v="2026-03-15T00:00:00"/>
        <d v="2026-03-16T00:00:00"/>
        <d v="2026-03-19T00:00:00"/>
        <d v="2026-03-20T00:00:00"/>
        <d v="2026-03-21T00:00:00"/>
        <d v="2026-03-22T00:00:00"/>
        <d v="2026-03-24T00:00:00"/>
        <d v="2026-03-25T00:00:00"/>
        <d v="2026-03-27T00:00:00"/>
        <d v="2026-03-28T00:00:00"/>
        <d v="2026-03-29T00:00:00"/>
        <d v="2026-03-30T00:00:00"/>
        <d v="2026-04-01T00:00:00"/>
        <d v="2026-04-03T00:00:00"/>
        <d v="2026-04-05T00:00:00"/>
        <d v="2026-04-10T00:00:00"/>
        <d v="2026-04-13T00:00:00"/>
        <d v="2026-04-16T00:00:00"/>
        <d v="2026-04-21T00:00:00"/>
        <d v="2026-04-22T00:00:00"/>
        <d v="2026-04-25T00:00:00"/>
        <d v="2026-04-26T00:00:00"/>
        <d v="2026-04-27T00:00:00"/>
        <d v="2026-04-29T00:00:00"/>
        <d v="2026-04-30T00:00:00"/>
        <d v="2026-05-01T00:00:00"/>
        <d v="2026-05-02T00:00:00"/>
        <d v="2026-05-04T00:00:00"/>
        <d v="2026-05-05T00:00:00"/>
        <d v="2026-05-06T00:00:00"/>
        <d v="2026-05-07T00:00:00"/>
        <d v="2026-05-08T00:00:00"/>
        <d v="2026-05-10T00:00:00"/>
        <d v="2026-05-11T00:00:00"/>
        <d v="2026-05-13T00:00:00"/>
        <d v="2026-05-15T00:00:00"/>
        <d v="2026-05-23T00:00:00"/>
        <d v="2026-05-24T00:00:00"/>
        <d v="2026-05-26T00:00:00"/>
        <d v="2026-05-30T00:00:00"/>
        <d v="2026-05-31T00:00:00"/>
        <d v="2026-06-02T00:00:00"/>
        <d v="2026-06-03T00:00:00"/>
        <d v="2026-06-04T00:00:00"/>
        <d v="2026-06-05T00:00:00"/>
        <d v="2026-06-07T00:00:00"/>
        <d v="2026-06-09T00:00:00"/>
        <d v="2026-06-10T00:00:00"/>
        <d v="2026-06-11T00:00:00"/>
        <d v="2026-06-12T00:00:00"/>
        <d v="2026-06-17T00:00:00"/>
        <d v="2026-06-19T00:00:00"/>
        <d v="2026-06-22T00:00:00"/>
        <d v="2026-06-24T00:00:00"/>
        <d v="2026-06-25T00:00:00"/>
        <d v="2026-06-29T00:00:00"/>
        <d v="2026-06-30T00:00:00"/>
      </sharedItems>
    </cacheField>
    <cacheField name="Month" numFmtId="0">
      <sharedItems count="6">
        <s v="Apr"/>
        <s v="Feb"/>
        <s v="Jan"/>
        <s v="Jun"/>
        <s v="Mar"/>
        <s v="May"/>
      </sharedItems>
    </cacheField>
    <cacheField name="Region" numFmtId="0">
      <sharedItems count="4">
        <s v="East"/>
        <s v="North"/>
        <s v="South"/>
        <s v="West"/>
      </sharedItems>
    </cacheField>
    <cacheField name="Salesperson" numFmtId="0">
      <sharedItems count="8">
        <s v="Amit Verma"/>
        <s v="Divya Nair"/>
        <s v="Karthik Iyer"/>
        <s v="Neha Singh"/>
        <s v="Rahul Patil"/>
        <s v="Riya Ghosh"/>
        <s v="Sneha Kulkarni"/>
        <s v="Subho Das"/>
      </sharedItems>
    </cacheField>
    <cacheField name="Category" numFmtId="0">
      <sharedItems count="4">
        <s v="Appliances"/>
        <s v="Electronics"/>
        <s v="Furniture"/>
        <s v="Stationery"/>
      </sharedItems>
    </cacheField>
    <cacheField name="Units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Unit Price (INR)" numFmtId="0">
      <sharedItems containsSemiMixedTypes="0" containsString="0" containsNumber="1" containsInteger="1" minValue="150" maxValue="4950" count="67">
        <n v="150"/>
        <n v="200"/>
        <n v="250"/>
        <n v="300"/>
        <n v="350"/>
        <n v="400"/>
        <n v="450"/>
        <n v="500"/>
        <n v="550"/>
        <n v="1250"/>
        <n v="1300"/>
        <n v="1350"/>
        <n v="1600"/>
        <n v="1650"/>
        <n v="1850"/>
        <n v="1900"/>
        <n v="1950"/>
        <n v="2000"/>
        <n v="2100"/>
        <n v="2150"/>
        <n v="2200"/>
        <n v="2250"/>
        <n v="2350"/>
        <n v="2400"/>
        <n v="2450"/>
        <n v="2500"/>
        <n v="2550"/>
        <n v="2600"/>
        <n v="2650"/>
        <n v="2700"/>
        <n v="2750"/>
        <n v="2800"/>
        <n v="2850"/>
        <n v="2900"/>
        <n v="2950"/>
        <n v="3050"/>
        <n v="3100"/>
        <n v="3150"/>
        <n v="3200"/>
        <n v="3300"/>
        <n v="3350"/>
        <n v="3400"/>
        <n v="3450"/>
        <n v="3550"/>
        <n v="3600"/>
        <n v="3650"/>
        <n v="3700"/>
        <n v="3750"/>
        <n v="3800"/>
        <n v="3850"/>
        <n v="3900"/>
        <n v="3950"/>
        <n v="4000"/>
        <n v="4050"/>
        <n v="4100"/>
        <n v="4150"/>
        <n v="4250"/>
        <n v="4350"/>
        <n v="4450"/>
        <n v="4500"/>
        <n v="4550"/>
        <n v="4650"/>
        <n v="4750"/>
        <n v="4800"/>
        <n v="4850"/>
        <n v="4900"/>
        <n v="4950"/>
      </sharedItems>
    </cacheField>
    <cacheField name="Sales (INR)" numFmtId="0">
      <sharedItems containsSemiMixedTypes="0" containsString="0" containsNumber="1" containsInteger="1" minValue="250" maxValue="63750" count="128">
        <n v="250"/>
        <n v="300"/>
        <n v="350"/>
        <n v="400"/>
        <n v="550"/>
        <n v="600"/>
        <n v="750"/>
        <n v="900"/>
        <n v="1000"/>
        <n v="1200"/>
        <n v="1350"/>
        <n v="1400"/>
        <n v="1500"/>
        <n v="1600"/>
        <n v="1950"/>
        <n v="2000"/>
        <n v="2100"/>
        <n v="2200"/>
        <n v="2250"/>
        <n v="2400"/>
        <n v="2800"/>
        <n v="2850"/>
        <n v="2900"/>
        <n v="3300"/>
        <n v="3350"/>
        <n v="3450"/>
        <n v="3500"/>
        <n v="3800"/>
        <n v="3850"/>
        <n v="4000"/>
        <n v="4300"/>
        <n v="4800"/>
        <n v="4950"/>
        <n v="5100"/>
        <n v="5400"/>
        <n v="5600"/>
        <n v="5700"/>
        <n v="5850"/>
        <n v="6000"/>
        <n v="6100"/>
        <n v="6200"/>
        <n v="6300"/>
        <n v="6500"/>
        <n v="7700"/>
        <n v="7900"/>
        <n v="8100"/>
        <n v="8250"/>
        <n v="8900"/>
        <n v="9000"/>
        <n v="9300"/>
        <n v="9450"/>
        <n v="10000"/>
        <n v="10400"/>
        <n v="11200"/>
        <n v="11700"/>
        <n v="11800"/>
        <n v="12000"/>
        <n v="12200"/>
        <n v="12500"/>
        <n v="12750"/>
        <n v="12800"/>
        <n v="13000"/>
        <n v="13200"/>
        <n v="13250"/>
        <n v="13600"/>
        <n v="14700"/>
        <n v="15000"/>
        <n v="15300"/>
        <n v="15600"/>
        <n v="16000"/>
        <n v="16500"/>
        <n v="16800"/>
        <n v="17700"/>
        <n v="18900"/>
        <n v="19600"/>
        <n v="20000"/>
        <n v="20250"/>
        <n v="20400"/>
        <n v="21350"/>
        <n v="21450"/>
        <n v="21600"/>
        <n v="22050"/>
        <n v="23100"/>
        <n v="23450"/>
        <n v="24000"/>
        <n v="24050"/>
        <n v="24750"/>
        <n v="24900"/>
        <n v="25000"/>
        <n v="25200"/>
        <n v="26100"/>
        <n v="26600"/>
        <n v="28350"/>
        <n v="28600"/>
        <n v="29200"/>
        <n v="29400"/>
        <n v="30000"/>
        <n v="31500"/>
        <n v="31900"/>
        <n v="32000"/>
        <n v="32400"/>
        <n v="32800"/>
        <n v="32900"/>
        <n v="33550"/>
        <n v="33950"/>
        <n v="34000"/>
        <n v="34200"/>
        <n v="36000"/>
        <n v="36600"/>
        <n v="37050"/>
        <n v="38500"/>
        <n v="39200"/>
        <n v="40950"/>
        <n v="42600"/>
        <n v="43550"/>
        <n v="44000"/>
        <n v="44100"/>
        <n v="44250"/>
        <n v="46800"/>
        <n v="48100"/>
        <n v="49500"/>
        <n v="50050"/>
        <n v="55250"/>
        <n v="57000"/>
        <n v="57600"/>
        <n v="57850"/>
        <n v="58800"/>
        <n v="63750"/>
      </sharedItems>
    </cacheField>
    <cacheField name="Status" numFmtId="0">
      <sharedItems count="2">
        <s v="Cancelled"/>
        <s v="Clos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x v="0"/>
    <x v="54"/>
    <x v="4"/>
    <x v="2"/>
    <x v="2"/>
    <x v="3"/>
    <x v="5"/>
    <x v="0"/>
    <x v="7"/>
    <x v="1"/>
  </r>
  <r>
    <x v="1"/>
    <x v="87"/>
    <x v="5"/>
    <x v="1"/>
    <x v="3"/>
    <x v="0"/>
    <x v="1"/>
    <x v="15"/>
    <x v="27"/>
    <x v="1"/>
  </r>
  <r>
    <x v="2"/>
    <x v="37"/>
    <x v="4"/>
    <x v="1"/>
    <x v="0"/>
    <x v="3"/>
    <x v="3"/>
    <x v="0"/>
    <x v="5"/>
    <x v="1"/>
  </r>
  <r>
    <x v="3"/>
    <x v="96"/>
    <x v="3"/>
    <x v="1"/>
    <x v="0"/>
    <x v="3"/>
    <x v="8"/>
    <x v="0"/>
    <x v="10"/>
    <x v="0"/>
  </r>
  <r>
    <x v="4"/>
    <x v="21"/>
    <x v="1"/>
    <x v="0"/>
    <x v="5"/>
    <x v="3"/>
    <x v="8"/>
    <x v="2"/>
    <x v="18"/>
    <x v="1"/>
  </r>
  <r>
    <x v="5"/>
    <x v="101"/>
    <x v="3"/>
    <x v="2"/>
    <x v="2"/>
    <x v="1"/>
    <x v="5"/>
    <x v="57"/>
    <x v="90"/>
    <x v="1"/>
  </r>
  <r>
    <x v="6"/>
    <x v="13"/>
    <x v="2"/>
    <x v="1"/>
    <x v="3"/>
    <x v="1"/>
    <x v="12"/>
    <x v="58"/>
    <x v="125"/>
    <x v="1"/>
  </r>
  <r>
    <x v="7"/>
    <x v="53"/>
    <x v="4"/>
    <x v="3"/>
    <x v="4"/>
    <x v="3"/>
    <x v="11"/>
    <x v="5"/>
    <x v="31"/>
    <x v="1"/>
  </r>
  <r>
    <x v="8"/>
    <x v="38"/>
    <x v="4"/>
    <x v="1"/>
    <x v="3"/>
    <x v="2"/>
    <x v="11"/>
    <x v="32"/>
    <x v="106"/>
    <x v="1"/>
  </r>
  <r>
    <x v="9"/>
    <x v="68"/>
    <x v="0"/>
    <x v="0"/>
    <x v="7"/>
    <x v="1"/>
    <x v="12"/>
    <x v="32"/>
    <x v="109"/>
    <x v="1"/>
  </r>
  <r>
    <x v="10"/>
    <x v="58"/>
    <x v="4"/>
    <x v="2"/>
    <x v="2"/>
    <x v="3"/>
    <x v="12"/>
    <x v="6"/>
    <x v="37"/>
    <x v="1"/>
  </r>
  <r>
    <x v="11"/>
    <x v="84"/>
    <x v="5"/>
    <x v="0"/>
    <x v="5"/>
    <x v="2"/>
    <x v="9"/>
    <x v="41"/>
    <x v="105"/>
    <x v="1"/>
  </r>
  <r>
    <x v="12"/>
    <x v="70"/>
    <x v="0"/>
    <x v="1"/>
    <x v="0"/>
    <x v="1"/>
    <x v="0"/>
    <x v="40"/>
    <x v="24"/>
    <x v="1"/>
  </r>
  <r>
    <x v="13"/>
    <x v="103"/>
    <x v="3"/>
    <x v="0"/>
    <x v="5"/>
    <x v="3"/>
    <x v="0"/>
    <x v="4"/>
    <x v="2"/>
    <x v="1"/>
  </r>
  <r>
    <x v="14"/>
    <x v="71"/>
    <x v="0"/>
    <x v="0"/>
    <x v="7"/>
    <x v="0"/>
    <x v="3"/>
    <x v="47"/>
    <x v="66"/>
    <x v="1"/>
  </r>
  <r>
    <x v="15"/>
    <x v="48"/>
    <x v="4"/>
    <x v="2"/>
    <x v="1"/>
    <x v="0"/>
    <x v="1"/>
    <x v="35"/>
    <x v="39"/>
    <x v="1"/>
  </r>
  <r>
    <x v="16"/>
    <x v="27"/>
    <x v="1"/>
    <x v="3"/>
    <x v="4"/>
    <x v="3"/>
    <x v="13"/>
    <x v="8"/>
    <x v="43"/>
    <x v="1"/>
  </r>
  <r>
    <x v="17"/>
    <x v="66"/>
    <x v="0"/>
    <x v="0"/>
    <x v="5"/>
    <x v="3"/>
    <x v="3"/>
    <x v="5"/>
    <x v="13"/>
    <x v="1"/>
  </r>
  <r>
    <x v="18"/>
    <x v="24"/>
    <x v="1"/>
    <x v="1"/>
    <x v="0"/>
    <x v="0"/>
    <x v="0"/>
    <x v="21"/>
    <x v="18"/>
    <x v="1"/>
  </r>
  <r>
    <x v="19"/>
    <x v="76"/>
    <x v="5"/>
    <x v="2"/>
    <x v="1"/>
    <x v="2"/>
    <x v="8"/>
    <x v="18"/>
    <x v="73"/>
    <x v="1"/>
  </r>
  <r>
    <x v="20"/>
    <x v="62"/>
    <x v="0"/>
    <x v="0"/>
    <x v="7"/>
    <x v="0"/>
    <x v="7"/>
    <x v="52"/>
    <x v="99"/>
    <x v="1"/>
  </r>
  <r>
    <x v="21"/>
    <x v="101"/>
    <x v="3"/>
    <x v="3"/>
    <x v="6"/>
    <x v="3"/>
    <x v="10"/>
    <x v="6"/>
    <x v="32"/>
    <x v="1"/>
  </r>
  <r>
    <x v="22"/>
    <x v="64"/>
    <x v="0"/>
    <x v="1"/>
    <x v="3"/>
    <x v="0"/>
    <x v="2"/>
    <x v="17"/>
    <x v="38"/>
    <x v="0"/>
  </r>
  <r>
    <x v="23"/>
    <x v="17"/>
    <x v="2"/>
    <x v="0"/>
    <x v="7"/>
    <x v="1"/>
    <x v="8"/>
    <x v="31"/>
    <x v="89"/>
    <x v="1"/>
  </r>
  <r>
    <x v="24"/>
    <x v="14"/>
    <x v="2"/>
    <x v="0"/>
    <x v="5"/>
    <x v="1"/>
    <x v="2"/>
    <x v="29"/>
    <x v="45"/>
    <x v="1"/>
  </r>
  <r>
    <x v="25"/>
    <x v="97"/>
    <x v="3"/>
    <x v="0"/>
    <x v="7"/>
    <x v="2"/>
    <x v="1"/>
    <x v="36"/>
    <x v="40"/>
    <x v="1"/>
  </r>
  <r>
    <x v="26"/>
    <x v="76"/>
    <x v="5"/>
    <x v="3"/>
    <x v="4"/>
    <x v="3"/>
    <x v="1"/>
    <x v="7"/>
    <x v="8"/>
    <x v="1"/>
  </r>
  <r>
    <x v="27"/>
    <x v="58"/>
    <x v="4"/>
    <x v="0"/>
    <x v="7"/>
    <x v="3"/>
    <x v="8"/>
    <x v="2"/>
    <x v="18"/>
    <x v="1"/>
  </r>
  <r>
    <x v="28"/>
    <x v="61"/>
    <x v="0"/>
    <x v="2"/>
    <x v="2"/>
    <x v="1"/>
    <x v="11"/>
    <x v="65"/>
    <x v="126"/>
    <x v="1"/>
  </r>
  <r>
    <x v="29"/>
    <x v="42"/>
    <x v="4"/>
    <x v="0"/>
    <x v="5"/>
    <x v="0"/>
    <x v="10"/>
    <x v="33"/>
    <x v="98"/>
    <x v="1"/>
  </r>
  <r>
    <x v="30"/>
    <x v="34"/>
    <x v="1"/>
    <x v="2"/>
    <x v="2"/>
    <x v="0"/>
    <x v="3"/>
    <x v="35"/>
    <x v="57"/>
    <x v="1"/>
  </r>
  <r>
    <x v="31"/>
    <x v="82"/>
    <x v="5"/>
    <x v="3"/>
    <x v="6"/>
    <x v="2"/>
    <x v="7"/>
    <x v="9"/>
    <x v="51"/>
    <x v="0"/>
  </r>
  <r>
    <x v="32"/>
    <x v="42"/>
    <x v="4"/>
    <x v="2"/>
    <x v="1"/>
    <x v="2"/>
    <x v="5"/>
    <x v="27"/>
    <x v="68"/>
    <x v="1"/>
  </r>
  <r>
    <x v="33"/>
    <x v="10"/>
    <x v="2"/>
    <x v="2"/>
    <x v="1"/>
    <x v="1"/>
    <x v="3"/>
    <x v="38"/>
    <x v="60"/>
    <x v="1"/>
  </r>
  <r>
    <x v="34"/>
    <x v="75"/>
    <x v="5"/>
    <x v="1"/>
    <x v="0"/>
    <x v="3"/>
    <x v="13"/>
    <x v="5"/>
    <x v="35"/>
    <x v="1"/>
  </r>
  <r>
    <x v="35"/>
    <x v="99"/>
    <x v="3"/>
    <x v="1"/>
    <x v="0"/>
    <x v="3"/>
    <x v="6"/>
    <x v="3"/>
    <x v="16"/>
    <x v="1"/>
  </r>
  <r>
    <x v="36"/>
    <x v="97"/>
    <x v="3"/>
    <x v="0"/>
    <x v="5"/>
    <x v="1"/>
    <x v="11"/>
    <x v="63"/>
    <x v="124"/>
    <x v="1"/>
  </r>
  <r>
    <x v="37"/>
    <x v="11"/>
    <x v="2"/>
    <x v="2"/>
    <x v="1"/>
    <x v="0"/>
    <x v="12"/>
    <x v="20"/>
    <x v="93"/>
    <x v="1"/>
  </r>
  <r>
    <x v="38"/>
    <x v="98"/>
    <x v="3"/>
    <x v="2"/>
    <x v="2"/>
    <x v="3"/>
    <x v="0"/>
    <x v="5"/>
    <x v="3"/>
    <x v="1"/>
  </r>
  <r>
    <x v="39"/>
    <x v="0"/>
    <x v="2"/>
    <x v="1"/>
    <x v="0"/>
    <x v="0"/>
    <x v="13"/>
    <x v="37"/>
    <x v="116"/>
    <x v="0"/>
  </r>
  <r>
    <x v="40"/>
    <x v="32"/>
    <x v="1"/>
    <x v="1"/>
    <x v="0"/>
    <x v="2"/>
    <x v="12"/>
    <x v="14"/>
    <x v="85"/>
    <x v="1"/>
  </r>
  <r>
    <x v="41"/>
    <x v="88"/>
    <x v="5"/>
    <x v="0"/>
    <x v="7"/>
    <x v="2"/>
    <x v="0"/>
    <x v="33"/>
    <x v="22"/>
    <x v="1"/>
  </r>
  <r>
    <x v="42"/>
    <x v="60"/>
    <x v="0"/>
    <x v="3"/>
    <x v="4"/>
    <x v="3"/>
    <x v="8"/>
    <x v="8"/>
    <x v="32"/>
    <x v="1"/>
  </r>
  <r>
    <x v="43"/>
    <x v="81"/>
    <x v="5"/>
    <x v="1"/>
    <x v="0"/>
    <x v="3"/>
    <x v="2"/>
    <x v="2"/>
    <x v="6"/>
    <x v="1"/>
  </r>
  <r>
    <x v="44"/>
    <x v="22"/>
    <x v="1"/>
    <x v="3"/>
    <x v="6"/>
    <x v="1"/>
    <x v="12"/>
    <x v="56"/>
    <x v="122"/>
    <x v="1"/>
  </r>
  <r>
    <x v="45"/>
    <x v="16"/>
    <x v="2"/>
    <x v="1"/>
    <x v="0"/>
    <x v="0"/>
    <x v="8"/>
    <x v="23"/>
    <x v="80"/>
    <x v="1"/>
  </r>
  <r>
    <x v="46"/>
    <x v="69"/>
    <x v="0"/>
    <x v="1"/>
    <x v="0"/>
    <x v="1"/>
    <x v="11"/>
    <x v="50"/>
    <x v="118"/>
    <x v="1"/>
  </r>
  <r>
    <x v="47"/>
    <x v="45"/>
    <x v="4"/>
    <x v="3"/>
    <x v="6"/>
    <x v="3"/>
    <x v="14"/>
    <x v="8"/>
    <x v="46"/>
    <x v="0"/>
  </r>
  <r>
    <x v="48"/>
    <x v="85"/>
    <x v="5"/>
    <x v="2"/>
    <x v="1"/>
    <x v="3"/>
    <x v="7"/>
    <x v="2"/>
    <x v="15"/>
    <x v="1"/>
  </r>
  <r>
    <x v="49"/>
    <x v="53"/>
    <x v="4"/>
    <x v="1"/>
    <x v="3"/>
    <x v="0"/>
    <x v="12"/>
    <x v="37"/>
    <x v="112"/>
    <x v="1"/>
  </r>
  <r>
    <x v="50"/>
    <x v="18"/>
    <x v="1"/>
    <x v="2"/>
    <x v="2"/>
    <x v="2"/>
    <x v="7"/>
    <x v="13"/>
    <x v="62"/>
    <x v="1"/>
  </r>
  <r>
    <x v="51"/>
    <x v="33"/>
    <x v="1"/>
    <x v="1"/>
    <x v="0"/>
    <x v="3"/>
    <x v="2"/>
    <x v="7"/>
    <x v="12"/>
    <x v="1"/>
  </r>
  <r>
    <x v="52"/>
    <x v="104"/>
    <x v="3"/>
    <x v="3"/>
    <x v="6"/>
    <x v="3"/>
    <x v="5"/>
    <x v="5"/>
    <x v="19"/>
    <x v="1"/>
  </r>
  <r>
    <x v="53"/>
    <x v="12"/>
    <x v="2"/>
    <x v="0"/>
    <x v="5"/>
    <x v="1"/>
    <x v="11"/>
    <x v="43"/>
    <x v="113"/>
    <x v="1"/>
  </r>
  <r>
    <x v="54"/>
    <x v="1"/>
    <x v="2"/>
    <x v="3"/>
    <x v="4"/>
    <x v="2"/>
    <x v="1"/>
    <x v="32"/>
    <x v="36"/>
    <x v="1"/>
  </r>
  <r>
    <x v="55"/>
    <x v="35"/>
    <x v="1"/>
    <x v="1"/>
    <x v="0"/>
    <x v="1"/>
    <x v="4"/>
    <x v="39"/>
    <x v="70"/>
    <x v="1"/>
  </r>
  <r>
    <x v="56"/>
    <x v="20"/>
    <x v="1"/>
    <x v="3"/>
    <x v="6"/>
    <x v="2"/>
    <x v="11"/>
    <x v="24"/>
    <x v="95"/>
    <x v="1"/>
  </r>
  <r>
    <x v="57"/>
    <x v="55"/>
    <x v="4"/>
    <x v="1"/>
    <x v="0"/>
    <x v="2"/>
    <x v="6"/>
    <x v="11"/>
    <x v="50"/>
    <x v="1"/>
  </r>
  <r>
    <x v="58"/>
    <x v="9"/>
    <x v="2"/>
    <x v="0"/>
    <x v="5"/>
    <x v="1"/>
    <x v="1"/>
    <x v="59"/>
    <x v="48"/>
    <x v="1"/>
  </r>
  <r>
    <x v="59"/>
    <x v="92"/>
    <x v="3"/>
    <x v="2"/>
    <x v="1"/>
    <x v="1"/>
    <x v="0"/>
    <x v="39"/>
    <x v="23"/>
    <x v="1"/>
  </r>
  <r>
    <x v="60"/>
    <x v="57"/>
    <x v="4"/>
    <x v="3"/>
    <x v="4"/>
    <x v="2"/>
    <x v="1"/>
    <x v="37"/>
    <x v="41"/>
    <x v="1"/>
  </r>
  <r>
    <x v="61"/>
    <x v="26"/>
    <x v="1"/>
    <x v="0"/>
    <x v="5"/>
    <x v="1"/>
    <x v="10"/>
    <x v="35"/>
    <x v="103"/>
    <x v="1"/>
  </r>
  <r>
    <x v="62"/>
    <x v="51"/>
    <x v="4"/>
    <x v="2"/>
    <x v="2"/>
    <x v="2"/>
    <x v="4"/>
    <x v="27"/>
    <x v="61"/>
    <x v="1"/>
  </r>
  <r>
    <x v="63"/>
    <x v="59"/>
    <x v="4"/>
    <x v="1"/>
    <x v="0"/>
    <x v="2"/>
    <x v="8"/>
    <x v="10"/>
    <x v="54"/>
    <x v="1"/>
  </r>
  <r>
    <x v="64"/>
    <x v="74"/>
    <x v="5"/>
    <x v="2"/>
    <x v="1"/>
    <x v="3"/>
    <x v="10"/>
    <x v="1"/>
    <x v="17"/>
    <x v="1"/>
  </r>
  <r>
    <x v="65"/>
    <x v="78"/>
    <x v="5"/>
    <x v="3"/>
    <x v="4"/>
    <x v="2"/>
    <x v="5"/>
    <x v="41"/>
    <x v="77"/>
    <x v="1"/>
  </r>
  <r>
    <x v="66"/>
    <x v="29"/>
    <x v="1"/>
    <x v="2"/>
    <x v="2"/>
    <x v="3"/>
    <x v="0"/>
    <x v="5"/>
    <x v="3"/>
    <x v="0"/>
  </r>
  <r>
    <x v="67"/>
    <x v="9"/>
    <x v="2"/>
    <x v="0"/>
    <x v="5"/>
    <x v="3"/>
    <x v="13"/>
    <x v="2"/>
    <x v="26"/>
    <x v="1"/>
  </r>
  <r>
    <x v="68"/>
    <x v="80"/>
    <x v="5"/>
    <x v="0"/>
    <x v="5"/>
    <x v="0"/>
    <x v="2"/>
    <x v="52"/>
    <x v="56"/>
    <x v="1"/>
  </r>
  <r>
    <x v="69"/>
    <x v="25"/>
    <x v="1"/>
    <x v="0"/>
    <x v="5"/>
    <x v="3"/>
    <x v="8"/>
    <x v="0"/>
    <x v="10"/>
    <x v="1"/>
  </r>
  <r>
    <x v="70"/>
    <x v="54"/>
    <x v="4"/>
    <x v="2"/>
    <x v="2"/>
    <x v="1"/>
    <x v="0"/>
    <x v="42"/>
    <x v="25"/>
    <x v="1"/>
  </r>
  <r>
    <x v="71"/>
    <x v="56"/>
    <x v="4"/>
    <x v="3"/>
    <x v="4"/>
    <x v="1"/>
    <x v="3"/>
    <x v="52"/>
    <x v="69"/>
    <x v="1"/>
  </r>
  <r>
    <x v="72"/>
    <x v="80"/>
    <x v="5"/>
    <x v="1"/>
    <x v="0"/>
    <x v="1"/>
    <x v="6"/>
    <x v="39"/>
    <x v="82"/>
    <x v="1"/>
  </r>
  <r>
    <x v="73"/>
    <x v="88"/>
    <x v="5"/>
    <x v="1"/>
    <x v="0"/>
    <x v="3"/>
    <x v="1"/>
    <x v="0"/>
    <x v="1"/>
    <x v="1"/>
  </r>
  <r>
    <x v="74"/>
    <x v="87"/>
    <x v="5"/>
    <x v="2"/>
    <x v="1"/>
    <x v="3"/>
    <x v="2"/>
    <x v="5"/>
    <x v="9"/>
    <x v="1"/>
  </r>
  <r>
    <x v="75"/>
    <x v="47"/>
    <x v="4"/>
    <x v="2"/>
    <x v="1"/>
    <x v="1"/>
    <x v="11"/>
    <x v="62"/>
    <x v="123"/>
    <x v="0"/>
  </r>
  <r>
    <x v="76"/>
    <x v="103"/>
    <x v="3"/>
    <x v="2"/>
    <x v="2"/>
    <x v="1"/>
    <x v="1"/>
    <x v="61"/>
    <x v="49"/>
    <x v="1"/>
  </r>
  <r>
    <x v="77"/>
    <x v="4"/>
    <x v="2"/>
    <x v="1"/>
    <x v="0"/>
    <x v="0"/>
    <x v="6"/>
    <x v="48"/>
    <x v="91"/>
    <x v="1"/>
  </r>
  <r>
    <x v="78"/>
    <x v="69"/>
    <x v="0"/>
    <x v="1"/>
    <x v="0"/>
    <x v="1"/>
    <x v="7"/>
    <x v="59"/>
    <x v="107"/>
    <x v="1"/>
  </r>
  <r>
    <x v="79"/>
    <x v="43"/>
    <x v="4"/>
    <x v="1"/>
    <x v="0"/>
    <x v="3"/>
    <x v="10"/>
    <x v="1"/>
    <x v="17"/>
    <x v="1"/>
  </r>
  <r>
    <x v="80"/>
    <x v="83"/>
    <x v="5"/>
    <x v="1"/>
    <x v="3"/>
    <x v="3"/>
    <x v="3"/>
    <x v="4"/>
    <x v="11"/>
    <x v="1"/>
  </r>
  <r>
    <x v="81"/>
    <x v="30"/>
    <x v="1"/>
    <x v="2"/>
    <x v="2"/>
    <x v="3"/>
    <x v="7"/>
    <x v="7"/>
    <x v="29"/>
    <x v="1"/>
  </r>
  <r>
    <x v="82"/>
    <x v="102"/>
    <x v="3"/>
    <x v="0"/>
    <x v="7"/>
    <x v="1"/>
    <x v="1"/>
    <x v="58"/>
    <x v="47"/>
    <x v="1"/>
  </r>
  <r>
    <x v="83"/>
    <x v="90"/>
    <x v="3"/>
    <x v="2"/>
    <x v="1"/>
    <x v="2"/>
    <x v="9"/>
    <x v="17"/>
    <x v="75"/>
    <x v="1"/>
  </r>
  <r>
    <x v="84"/>
    <x v="86"/>
    <x v="5"/>
    <x v="2"/>
    <x v="1"/>
    <x v="1"/>
    <x v="10"/>
    <x v="52"/>
    <x v="115"/>
    <x v="1"/>
  </r>
  <r>
    <x v="85"/>
    <x v="14"/>
    <x v="2"/>
    <x v="2"/>
    <x v="1"/>
    <x v="3"/>
    <x v="7"/>
    <x v="4"/>
    <x v="20"/>
    <x v="1"/>
  </r>
  <r>
    <x v="86"/>
    <x v="72"/>
    <x v="0"/>
    <x v="3"/>
    <x v="4"/>
    <x v="1"/>
    <x v="14"/>
    <x v="56"/>
    <x v="127"/>
    <x v="1"/>
  </r>
  <r>
    <x v="87"/>
    <x v="74"/>
    <x v="5"/>
    <x v="1"/>
    <x v="3"/>
    <x v="2"/>
    <x v="4"/>
    <x v="28"/>
    <x v="63"/>
    <x v="1"/>
  </r>
  <r>
    <x v="88"/>
    <x v="63"/>
    <x v="0"/>
    <x v="2"/>
    <x v="2"/>
    <x v="0"/>
    <x v="11"/>
    <x v="17"/>
    <x v="84"/>
    <x v="1"/>
  </r>
  <r>
    <x v="89"/>
    <x v="83"/>
    <x v="5"/>
    <x v="0"/>
    <x v="5"/>
    <x v="2"/>
    <x v="14"/>
    <x v="12"/>
    <x v="84"/>
    <x v="1"/>
  </r>
  <r>
    <x v="90"/>
    <x v="17"/>
    <x v="2"/>
    <x v="0"/>
    <x v="5"/>
    <x v="0"/>
    <x v="6"/>
    <x v="40"/>
    <x v="83"/>
    <x v="0"/>
  </r>
  <r>
    <x v="91"/>
    <x v="3"/>
    <x v="2"/>
    <x v="2"/>
    <x v="1"/>
    <x v="1"/>
    <x v="4"/>
    <x v="53"/>
    <x v="76"/>
    <x v="1"/>
  </r>
  <r>
    <x v="92"/>
    <x v="22"/>
    <x v="1"/>
    <x v="3"/>
    <x v="6"/>
    <x v="2"/>
    <x v="0"/>
    <x v="23"/>
    <x v="19"/>
    <x v="1"/>
  </r>
  <r>
    <x v="93"/>
    <x v="55"/>
    <x v="4"/>
    <x v="0"/>
    <x v="7"/>
    <x v="3"/>
    <x v="11"/>
    <x v="1"/>
    <x v="19"/>
    <x v="0"/>
  </r>
  <r>
    <x v="94"/>
    <x v="0"/>
    <x v="2"/>
    <x v="0"/>
    <x v="5"/>
    <x v="2"/>
    <x v="13"/>
    <x v="22"/>
    <x v="102"/>
    <x v="1"/>
  </r>
  <r>
    <x v="95"/>
    <x v="88"/>
    <x v="5"/>
    <x v="1"/>
    <x v="0"/>
    <x v="2"/>
    <x v="4"/>
    <x v="26"/>
    <x v="59"/>
    <x v="1"/>
  </r>
  <r>
    <x v="96"/>
    <x v="15"/>
    <x v="2"/>
    <x v="1"/>
    <x v="0"/>
    <x v="2"/>
    <x v="4"/>
    <x v="38"/>
    <x v="69"/>
    <x v="0"/>
  </r>
  <r>
    <x v="97"/>
    <x v="67"/>
    <x v="0"/>
    <x v="0"/>
    <x v="5"/>
    <x v="0"/>
    <x v="14"/>
    <x v="34"/>
    <x v="117"/>
    <x v="1"/>
  </r>
  <r>
    <x v="98"/>
    <x v="4"/>
    <x v="2"/>
    <x v="3"/>
    <x v="6"/>
    <x v="0"/>
    <x v="7"/>
    <x v="54"/>
    <x v="101"/>
    <x v="1"/>
  </r>
  <r>
    <x v="99"/>
    <x v="93"/>
    <x v="3"/>
    <x v="2"/>
    <x v="2"/>
    <x v="2"/>
    <x v="2"/>
    <x v="30"/>
    <x v="46"/>
    <x v="1"/>
  </r>
  <r>
    <x v="100"/>
    <x v="73"/>
    <x v="5"/>
    <x v="3"/>
    <x v="6"/>
    <x v="2"/>
    <x v="6"/>
    <x v="18"/>
    <x v="65"/>
    <x v="1"/>
  </r>
  <r>
    <x v="101"/>
    <x v="98"/>
    <x v="3"/>
    <x v="2"/>
    <x v="1"/>
    <x v="2"/>
    <x v="1"/>
    <x v="29"/>
    <x v="34"/>
    <x v="1"/>
  </r>
  <r>
    <x v="102"/>
    <x v="27"/>
    <x v="1"/>
    <x v="2"/>
    <x v="1"/>
    <x v="1"/>
    <x v="8"/>
    <x v="37"/>
    <x v="92"/>
    <x v="1"/>
  </r>
  <r>
    <x v="103"/>
    <x v="33"/>
    <x v="1"/>
    <x v="3"/>
    <x v="4"/>
    <x v="2"/>
    <x v="3"/>
    <x v="27"/>
    <x v="52"/>
    <x v="1"/>
  </r>
  <r>
    <x v="104"/>
    <x v="12"/>
    <x v="2"/>
    <x v="2"/>
    <x v="2"/>
    <x v="2"/>
    <x v="5"/>
    <x v="34"/>
    <x v="72"/>
    <x v="1"/>
  </r>
  <r>
    <x v="105"/>
    <x v="42"/>
    <x v="4"/>
    <x v="2"/>
    <x v="1"/>
    <x v="1"/>
    <x v="6"/>
    <x v="64"/>
    <x v="104"/>
    <x v="1"/>
  </r>
  <r>
    <x v="106"/>
    <x v="83"/>
    <x v="5"/>
    <x v="2"/>
    <x v="2"/>
    <x v="3"/>
    <x v="7"/>
    <x v="4"/>
    <x v="20"/>
    <x v="1"/>
  </r>
  <r>
    <x v="107"/>
    <x v="46"/>
    <x v="4"/>
    <x v="0"/>
    <x v="7"/>
    <x v="0"/>
    <x v="1"/>
    <x v="51"/>
    <x v="44"/>
    <x v="1"/>
  </r>
  <r>
    <x v="108"/>
    <x v="44"/>
    <x v="4"/>
    <x v="2"/>
    <x v="1"/>
    <x v="3"/>
    <x v="4"/>
    <x v="6"/>
    <x v="18"/>
    <x v="1"/>
  </r>
  <r>
    <x v="109"/>
    <x v="2"/>
    <x v="2"/>
    <x v="2"/>
    <x v="1"/>
    <x v="1"/>
    <x v="9"/>
    <x v="49"/>
    <x v="110"/>
    <x v="1"/>
  </r>
  <r>
    <x v="110"/>
    <x v="77"/>
    <x v="5"/>
    <x v="1"/>
    <x v="3"/>
    <x v="1"/>
    <x v="7"/>
    <x v="47"/>
    <x v="96"/>
    <x v="0"/>
  </r>
  <r>
    <x v="111"/>
    <x v="39"/>
    <x v="4"/>
    <x v="1"/>
    <x v="0"/>
    <x v="0"/>
    <x v="13"/>
    <x v="21"/>
    <x v="97"/>
    <x v="1"/>
  </r>
  <r>
    <x v="112"/>
    <x v="103"/>
    <x v="3"/>
    <x v="3"/>
    <x v="4"/>
    <x v="1"/>
    <x v="12"/>
    <x v="56"/>
    <x v="122"/>
    <x v="1"/>
  </r>
  <r>
    <x v="113"/>
    <x v="19"/>
    <x v="1"/>
    <x v="2"/>
    <x v="2"/>
    <x v="1"/>
    <x v="10"/>
    <x v="60"/>
    <x v="121"/>
    <x v="1"/>
  </r>
  <r>
    <x v="114"/>
    <x v="40"/>
    <x v="4"/>
    <x v="3"/>
    <x v="4"/>
    <x v="1"/>
    <x v="6"/>
    <x v="31"/>
    <x v="74"/>
    <x v="1"/>
  </r>
  <r>
    <x v="115"/>
    <x v="42"/>
    <x v="4"/>
    <x v="2"/>
    <x v="1"/>
    <x v="1"/>
    <x v="4"/>
    <x v="25"/>
    <x v="58"/>
    <x v="1"/>
  </r>
  <r>
    <x v="116"/>
    <x v="53"/>
    <x v="4"/>
    <x v="2"/>
    <x v="2"/>
    <x v="3"/>
    <x v="0"/>
    <x v="8"/>
    <x v="4"/>
    <x v="1"/>
  </r>
  <r>
    <x v="117"/>
    <x v="65"/>
    <x v="0"/>
    <x v="0"/>
    <x v="5"/>
    <x v="1"/>
    <x v="1"/>
    <x v="26"/>
    <x v="33"/>
    <x v="1"/>
  </r>
  <r>
    <x v="118"/>
    <x v="41"/>
    <x v="4"/>
    <x v="2"/>
    <x v="2"/>
    <x v="3"/>
    <x v="11"/>
    <x v="5"/>
    <x v="31"/>
    <x v="1"/>
  </r>
  <r>
    <x v="119"/>
    <x v="57"/>
    <x v="4"/>
    <x v="3"/>
    <x v="4"/>
    <x v="2"/>
    <x v="12"/>
    <x v="40"/>
    <x v="114"/>
    <x v="1"/>
  </r>
  <r>
    <x v="120"/>
    <x v="49"/>
    <x v="4"/>
    <x v="1"/>
    <x v="3"/>
    <x v="0"/>
    <x v="12"/>
    <x v="40"/>
    <x v="114"/>
    <x v="0"/>
  </r>
  <r>
    <x v="121"/>
    <x v="28"/>
    <x v="1"/>
    <x v="2"/>
    <x v="1"/>
    <x v="3"/>
    <x v="1"/>
    <x v="3"/>
    <x v="5"/>
    <x v="1"/>
  </r>
  <r>
    <x v="122"/>
    <x v="94"/>
    <x v="3"/>
    <x v="3"/>
    <x v="4"/>
    <x v="0"/>
    <x v="9"/>
    <x v="25"/>
    <x v="88"/>
    <x v="1"/>
  </r>
  <r>
    <x v="123"/>
    <x v="23"/>
    <x v="1"/>
    <x v="3"/>
    <x v="4"/>
    <x v="1"/>
    <x v="6"/>
    <x v="37"/>
    <x v="81"/>
    <x v="1"/>
  </r>
  <r>
    <x v="124"/>
    <x v="6"/>
    <x v="2"/>
    <x v="1"/>
    <x v="3"/>
    <x v="0"/>
    <x v="11"/>
    <x v="35"/>
    <x v="108"/>
    <x v="1"/>
  </r>
  <r>
    <x v="125"/>
    <x v="17"/>
    <x v="2"/>
    <x v="1"/>
    <x v="3"/>
    <x v="0"/>
    <x v="0"/>
    <x v="32"/>
    <x v="21"/>
    <x v="1"/>
  </r>
  <r>
    <x v="126"/>
    <x v="52"/>
    <x v="4"/>
    <x v="3"/>
    <x v="4"/>
    <x v="2"/>
    <x v="0"/>
    <x v="21"/>
    <x v="18"/>
    <x v="1"/>
  </r>
  <r>
    <x v="127"/>
    <x v="10"/>
    <x v="2"/>
    <x v="0"/>
    <x v="7"/>
    <x v="1"/>
    <x v="8"/>
    <x v="44"/>
    <x v="100"/>
    <x v="1"/>
  </r>
  <r>
    <x v="128"/>
    <x v="31"/>
    <x v="1"/>
    <x v="3"/>
    <x v="6"/>
    <x v="2"/>
    <x v="1"/>
    <x v="19"/>
    <x v="30"/>
    <x v="1"/>
  </r>
  <r>
    <x v="129"/>
    <x v="5"/>
    <x v="2"/>
    <x v="3"/>
    <x v="6"/>
    <x v="0"/>
    <x v="3"/>
    <x v="34"/>
    <x v="55"/>
    <x v="1"/>
  </r>
  <r>
    <x v="130"/>
    <x v="54"/>
    <x v="4"/>
    <x v="0"/>
    <x v="7"/>
    <x v="3"/>
    <x v="12"/>
    <x v="0"/>
    <x v="14"/>
    <x v="1"/>
  </r>
  <r>
    <x v="131"/>
    <x v="95"/>
    <x v="3"/>
    <x v="3"/>
    <x v="4"/>
    <x v="1"/>
    <x v="12"/>
    <x v="46"/>
    <x v="119"/>
    <x v="1"/>
  </r>
  <r>
    <x v="132"/>
    <x v="7"/>
    <x v="2"/>
    <x v="0"/>
    <x v="5"/>
    <x v="0"/>
    <x v="5"/>
    <x v="55"/>
    <x v="87"/>
    <x v="1"/>
  </r>
  <r>
    <x v="133"/>
    <x v="44"/>
    <x v="4"/>
    <x v="0"/>
    <x v="5"/>
    <x v="1"/>
    <x v="14"/>
    <x v="39"/>
    <x v="120"/>
    <x v="1"/>
  </r>
  <r>
    <x v="134"/>
    <x v="45"/>
    <x v="4"/>
    <x v="0"/>
    <x v="7"/>
    <x v="1"/>
    <x v="0"/>
    <x v="63"/>
    <x v="31"/>
    <x v="1"/>
  </r>
  <r>
    <x v="135"/>
    <x v="36"/>
    <x v="4"/>
    <x v="1"/>
    <x v="3"/>
    <x v="3"/>
    <x v="12"/>
    <x v="7"/>
    <x v="42"/>
    <x v="0"/>
  </r>
  <r>
    <x v="136"/>
    <x v="40"/>
    <x v="4"/>
    <x v="3"/>
    <x v="4"/>
    <x v="3"/>
    <x v="0"/>
    <x v="2"/>
    <x v="0"/>
    <x v="0"/>
  </r>
  <r>
    <x v="137"/>
    <x v="50"/>
    <x v="4"/>
    <x v="2"/>
    <x v="1"/>
    <x v="0"/>
    <x v="5"/>
    <x v="31"/>
    <x v="71"/>
    <x v="1"/>
  </r>
  <r>
    <x v="138"/>
    <x v="89"/>
    <x v="3"/>
    <x v="1"/>
    <x v="0"/>
    <x v="0"/>
    <x v="6"/>
    <x v="35"/>
    <x v="78"/>
    <x v="1"/>
  </r>
  <r>
    <x v="139"/>
    <x v="8"/>
    <x v="2"/>
    <x v="1"/>
    <x v="0"/>
    <x v="3"/>
    <x v="6"/>
    <x v="8"/>
    <x v="28"/>
    <x v="1"/>
  </r>
  <r>
    <x v="140"/>
    <x v="15"/>
    <x v="2"/>
    <x v="1"/>
    <x v="0"/>
    <x v="2"/>
    <x v="6"/>
    <x v="37"/>
    <x v="81"/>
    <x v="1"/>
  </r>
  <r>
    <x v="141"/>
    <x v="79"/>
    <x v="5"/>
    <x v="3"/>
    <x v="6"/>
    <x v="0"/>
    <x v="9"/>
    <x v="25"/>
    <x v="88"/>
    <x v="1"/>
  </r>
  <r>
    <x v="142"/>
    <x v="100"/>
    <x v="3"/>
    <x v="2"/>
    <x v="1"/>
    <x v="1"/>
    <x v="4"/>
    <x v="66"/>
    <x v="86"/>
    <x v="1"/>
  </r>
  <r>
    <x v="143"/>
    <x v="86"/>
    <x v="5"/>
    <x v="0"/>
    <x v="7"/>
    <x v="2"/>
    <x v="7"/>
    <x v="17"/>
    <x v="69"/>
    <x v="1"/>
  </r>
  <r>
    <x v="144"/>
    <x v="39"/>
    <x v="4"/>
    <x v="2"/>
    <x v="2"/>
    <x v="0"/>
    <x v="5"/>
    <x v="26"/>
    <x v="67"/>
    <x v="1"/>
  </r>
  <r>
    <x v="145"/>
    <x v="8"/>
    <x v="2"/>
    <x v="3"/>
    <x v="4"/>
    <x v="2"/>
    <x v="10"/>
    <x v="16"/>
    <x v="79"/>
    <x v="1"/>
  </r>
  <r>
    <x v="146"/>
    <x v="14"/>
    <x v="2"/>
    <x v="3"/>
    <x v="4"/>
    <x v="1"/>
    <x v="13"/>
    <x v="31"/>
    <x v="111"/>
    <x v="1"/>
  </r>
  <r>
    <x v="147"/>
    <x v="68"/>
    <x v="0"/>
    <x v="0"/>
    <x v="7"/>
    <x v="1"/>
    <x v="3"/>
    <x v="41"/>
    <x v="64"/>
    <x v="1"/>
  </r>
  <r>
    <x v="148"/>
    <x v="90"/>
    <x v="3"/>
    <x v="2"/>
    <x v="2"/>
    <x v="1"/>
    <x v="7"/>
    <x v="45"/>
    <x v="94"/>
    <x v="1"/>
  </r>
  <r>
    <x v="149"/>
    <x v="91"/>
    <x v="3"/>
    <x v="0"/>
    <x v="5"/>
    <x v="1"/>
    <x v="3"/>
    <x v="31"/>
    <x v="5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SalesPivot" cacheId="0" applyNumberFormats="0" applyBorderFormats="0" applyFontFormats="0" applyPatternFormats="0" applyAlignmentFormats="0" applyWidthHeightFormats="0" dataCaption="Values" showDrill="0" itemPrintTitles="1" indent="0" outline="1" outlineData="1">
  <location ref="A42:F48" firstHeaderRow="1" firstDataRow="2" firstDataCol="1" rowPageCount="1" colPageCount="1"/>
  <pivotFields count="10"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axis="axisCol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dataField="1" compact="0" showAll="0"/>
    <pivotField axis="axisPage" compact="0" showAll="0" defaultSubtotal="0">
      <items count="2">
        <item h="1" x="0"/>
        <item x="1"/>
      </items>
    </pivotField>
  </pivotFields>
  <rowFields count="1">
    <field x="3"/>
  </rowFields>
  <colFields count="1">
    <field x="5"/>
  </colFields>
  <pageFields count="1">
    <pageField fld="9" hier="-1"/>
  </pageFields>
  <dataFields count="1">
    <dataField name="Sum - Sales (INR)" fld="8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zoomScaleNormal="100" workbookViewId="0">
      <selection activeCell="A5" sqref="A5:B5"/>
    </sheetView>
  </sheetViews>
  <sheetFormatPr defaultColWidth="8.6640625" defaultRowHeight="14.4" x14ac:dyDescent="0.3"/>
  <cols>
    <col min="1" max="8" width="11" customWidth="1"/>
  </cols>
  <sheetData>
    <row r="1" spans="1:8" ht="21" x14ac:dyDescent="0.4">
      <c r="A1" s="5" t="s">
        <v>0</v>
      </c>
    </row>
    <row r="2" spans="1:8" x14ac:dyDescent="0.3">
      <c r="A2" s="6" t="s">
        <v>1</v>
      </c>
    </row>
    <row r="4" spans="1:8" ht="24" customHeight="1" x14ac:dyDescent="0.3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</row>
    <row r="5" spans="1:8" ht="33.75" customHeight="1" x14ac:dyDescent="0.3">
      <c r="A5" s="3">
        <f>Summary!D10</f>
        <v>2393800</v>
      </c>
      <c r="B5" s="3"/>
      <c r="C5" s="3">
        <f>Summary!B10-Summary!C10</f>
        <v>136</v>
      </c>
      <c r="D5" s="3"/>
      <c r="E5" s="2">
        <f>Summary!E10</f>
        <v>9.3333333333333338E-2</v>
      </c>
      <c r="F5" s="2"/>
      <c r="G5" s="1" t="str">
        <f>INDEX(Summary!A6:A9,MATCH(MAX(Summary!D6:D9),Summary!D6:D9,0))</f>
        <v>South</v>
      </c>
      <c r="H5" s="1"/>
    </row>
    <row r="7" spans="1:8" x14ac:dyDescent="0.3">
      <c r="A7" s="7" t="s">
        <v>6</v>
      </c>
      <c r="E7" s="7" t="s">
        <v>7</v>
      </c>
    </row>
    <row r="25" spans="1:1" x14ac:dyDescent="0.3">
      <c r="A25" s="7" t="s">
        <v>8</v>
      </c>
    </row>
    <row r="26" spans="1:1" x14ac:dyDescent="0.3">
      <c r="A26" s="6" t="s">
        <v>9</v>
      </c>
    </row>
    <row r="27" spans="1:1" x14ac:dyDescent="0.3">
      <c r="A27" s="6" t="s">
        <v>10</v>
      </c>
    </row>
    <row r="28" spans="1:1" x14ac:dyDescent="0.3">
      <c r="A28" s="6" t="s">
        <v>11</v>
      </c>
    </row>
    <row r="29" spans="1:1" x14ac:dyDescent="0.3">
      <c r="A29" s="6" t="s">
        <v>12</v>
      </c>
    </row>
  </sheetData>
  <mergeCells count="8">
    <mergeCell ref="A4:B4"/>
    <mergeCell ref="C4:D4"/>
    <mergeCell ref="E4:F4"/>
    <mergeCell ref="G4:H4"/>
    <mergeCell ref="A5:B5"/>
    <mergeCell ref="C5:D5"/>
    <mergeCell ref="E5:F5"/>
    <mergeCell ref="G5:H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tabSelected="1" topLeftCell="A34" zoomScaleNormal="100" workbookViewId="0">
      <selection activeCell="C51" sqref="C51"/>
    </sheetView>
  </sheetViews>
  <sheetFormatPr defaultColWidth="8.6640625" defaultRowHeight="14.4" x14ac:dyDescent="0.3"/>
  <cols>
    <col min="1" max="1" width="16" customWidth="1"/>
    <col min="2" max="2" width="14" customWidth="1"/>
    <col min="3" max="3" width="20" customWidth="1"/>
    <col min="4" max="4" width="18" customWidth="1"/>
    <col min="5" max="5" width="16" customWidth="1"/>
    <col min="6" max="6" width="10.44140625" customWidth="1"/>
  </cols>
  <sheetData>
    <row r="1" spans="1:7" ht="21" x14ac:dyDescent="0.4">
      <c r="A1" s="5" t="s">
        <v>13</v>
      </c>
    </row>
    <row r="2" spans="1:7" x14ac:dyDescent="0.3">
      <c r="A2" s="6" t="s">
        <v>14</v>
      </c>
    </row>
    <row r="4" spans="1:7" x14ac:dyDescent="0.3">
      <c r="A4" s="7" t="s">
        <v>15</v>
      </c>
    </row>
    <row r="5" spans="1:7" ht="27.75" customHeight="1" x14ac:dyDescent="0.3">
      <c r="A5" s="8" t="s">
        <v>16</v>
      </c>
      <c r="B5" s="8" t="s">
        <v>17</v>
      </c>
      <c r="C5" s="8" t="s">
        <v>18</v>
      </c>
      <c r="D5" s="8" t="s">
        <v>19</v>
      </c>
      <c r="E5" s="8" t="s">
        <v>20</v>
      </c>
    </row>
    <row r="6" spans="1:7" x14ac:dyDescent="0.3">
      <c r="A6" s="9" t="s">
        <v>21</v>
      </c>
      <c r="B6" s="9">
        <f>COUNTIF(Data!$D$2:$D$151,A6)</f>
        <v>38</v>
      </c>
      <c r="C6" s="9">
        <f>COUNTIFS(Data!$D$2:$D$151,A6,Data!$J$2:$J$151,"Cancelled")</f>
        <v>7</v>
      </c>
      <c r="D6" s="10">
        <f>SUMIFS(Data!$I$2:$I$151,Data!$D$2:$D$151,A6,Data!$J$2:$J$151,"Closed")</f>
        <v>516850</v>
      </c>
      <c r="E6" s="11">
        <f>C6/B6</f>
        <v>0.18421052631578946</v>
      </c>
      <c r="G6" s="6" t="s">
        <v>22</v>
      </c>
    </row>
    <row r="7" spans="1:7" x14ac:dyDescent="0.3">
      <c r="A7" s="9" t="s">
        <v>23</v>
      </c>
      <c r="B7" s="9">
        <f>COUNTIF(Data!$D$2:$D$151,A7)</f>
        <v>44</v>
      </c>
      <c r="C7" s="9">
        <f>COUNTIFS(Data!$D$2:$D$151,A7,Data!$J$2:$J$151,"Cancelled")</f>
        <v>2</v>
      </c>
      <c r="D7" s="10">
        <f>SUMIFS(Data!$I$2:$I$151,Data!$D$2:$D$151,A7,Data!$J$2:$J$151,"Closed")</f>
        <v>640700</v>
      </c>
      <c r="E7" s="11">
        <f>C7/B7</f>
        <v>4.5454545454545456E-2</v>
      </c>
      <c r="G7" s="6" t="s">
        <v>24</v>
      </c>
    </row>
    <row r="8" spans="1:7" x14ac:dyDescent="0.3">
      <c r="A8" s="9" t="s">
        <v>25</v>
      </c>
      <c r="B8" s="9">
        <f>COUNTIF(Data!$D$2:$D$151,A8)</f>
        <v>36</v>
      </c>
      <c r="C8" s="9">
        <f>COUNTIFS(Data!$D$2:$D$151,A8,Data!$J$2:$J$151,"Cancelled")</f>
        <v>2</v>
      </c>
      <c r="D8" s="10">
        <f>SUMIFS(Data!$I$2:$I$151,Data!$D$2:$D$151,A8,Data!$J$2:$J$151,"Closed")</f>
        <v>635800</v>
      </c>
      <c r="E8" s="11">
        <f>C8/B8</f>
        <v>5.5555555555555552E-2</v>
      </c>
    </row>
    <row r="9" spans="1:7" x14ac:dyDescent="0.3">
      <c r="A9" s="9" t="s">
        <v>26</v>
      </c>
      <c r="B9" s="9">
        <f>COUNTIF(Data!$D$2:$D$151,A9)</f>
        <v>32</v>
      </c>
      <c r="C9" s="9">
        <f>COUNTIFS(Data!$D$2:$D$151,A9,Data!$J$2:$J$151,"Cancelled")</f>
        <v>3</v>
      </c>
      <c r="D9" s="10">
        <f>SUMIFS(Data!$I$2:$I$151,Data!$D$2:$D$151,A9,Data!$J$2:$J$151,"Closed")</f>
        <v>600450</v>
      </c>
      <c r="E9" s="11">
        <f>C9/B9</f>
        <v>9.375E-2</v>
      </c>
    </row>
    <row r="10" spans="1:7" x14ac:dyDescent="0.3">
      <c r="A10" s="12" t="s">
        <v>27</v>
      </c>
      <c r="B10" s="13">
        <f>SUM(B6:B9)</f>
        <v>150</v>
      </c>
      <c r="C10" s="13">
        <f>SUM(C6:C9)</f>
        <v>14</v>
      </c>
      <c r="D10" s="13">
        <f>SUM(D6:D9)</f>
        <v>2393800</v>
      </c>
      <c r="E10" s="14">
        <f>C10/B10</f>
        <v>9.3333333333333338E-2</v>
      </c>
    </row>
    <row r="13" spans="1:7" x14ac:dyDescent="0.3">
      <c r="A13" s="7" t="s">
        <v>28</v>
      </c>
    </row>
    <row r="14" spans="1:7" ht="27.75" customHeight="1" x14ac:dyDescent="0.3">
      <c r="A14" s="8" t="s">
        <v>29</v>
      </c>
      <c r="B14" s="8" t="s">
        <v>16</v>
      </c>
      <c r="C14" s="8" t="s">
        <v>19</v>
      </c>
      <c r="D14" s="8" t="s">
        <v>30</v>
      </c>
      <c r="E14" s="8" t="s">
        <v>31</v>
      </c>
    </row>
    <row r="15" spans="1:7" x14ac:dyDescent="0.3">
      <c r="A15" s="9" t="s">
        <v>32</v>
      </c>
      <c r="B15" s="9" t="s">
        <v>21</v>
      </c>
      <c r="C15" s="10">
        <f>SUMIFS(Data!$I$2:$I$151,Data!$E$2:$E$151,A15,Data!$J$2:$J$151,"Closed")</f>
        <v>325950</v>
      </c>
      <c r="D15" s="15">
        <v>320000</v>
      </c>
      <c r="E15" s="11">
        <f t="shared" ref="E15:E22" si="0">C15/D15</f>
        <v>1.01859375</v>
      </c>
      <c r="G15" s="6" t="s">
        <v>33</v>
      </c>
    </row>
    <row r="16" spans="1:7" x14ac:dyDescent="0.3">
      <c r="A16" s="9" t="s">
        <v>34</v>
      </c>
      <c r="B16" s="9" t="s">
        <v>21</v>
      </c>
      <c r="C16" s="10">
        <f>SUMIFS(Data!$I$2:$I$151,Data!$E$2:$E$151,A16,Data!$J$2:$J$151,"Closed")</f>
        <v>190900</v>
      </c>
      <c r="D16" s="15">
        <v>300000</v>
      </c>
      <c r="E16" s="11">
        <f t="shared" si="0"/>
        <v>0.63633333333333331</v>
      </c>
      <c r="G16" s="6" t="s">
        <v>35</v>
      </c>
    </row>
    <row r="17" spans="1:7" x14ac:dyDescent="0.3">
      <c r="A17" s="9" t="s">
        <v>36</v>
      </c>
      <c r="B17" s="9" t="s">
        <v>23</v>
      </c>
      <c r="C17" s="10">
        <f>SUMIFS(Data!$I$2:$I$151,Data!$E$2:$E$151,A17,Data!$J$2:$J$151,"Closed")</f>
        <v>299850</v>
      </c>
      <c r="D17" s="15">
        <v>280000</v>
      </c>
      <c r="E17" s="11">
        <f t="shared" si="0"/>
        <v>1.0708928571428571</v>
      </c>
    </row>
    <row r="18" spans="1:7" x14ac:dyDescent="0.3">
      <c r="A18" s="9" t="s">
        <v>37</v>
      </c>
      <c r="B18" s="9" t="s">
        <v>23</v>
      </c>
      <c r="C18" s="10">
        <f>SUMIFS(Data!$I$2:$I$151,Data!$E$2:$E$151,A18,Data!$J$2:$J$151,"Closed")</f>
        <v>340850</v>
      </c>
      <c r="D18" s="15">
        <v>300000</v>
      </c>
      <c r="E18" s="11">
        <f t="shared" si="0"/>
        <v>1.1361666666666668</v>
      </c>
    </row>
    <row r="19" spans="1:7" x14ac:dyDescent="0.3">
      <c r="A19" s="9" t="s">
        <v>38</v>
      </c>
      <c r="B19" s="9" t="s">
        <v>25</v>
      </c>
      <c r="C19" s="10">
        <f>SUMIFS(Data!$I$2:$I$151,Data!$E$2:$E$151,A19,Data!$J$2:$J$151,"Closed")</f>
        <v>206150</v>
      </c>
      <c r="D19" s="15">
        <v>300000</v>
      </c>
      <c r="E19" s="11">
        <f t="shared" si="0"/>
        <v>0.6871666666666667</v>
      </c>
    </row>
    <row r="20" spans="1:7" x14ac:dyDescent="0.3">
      <c r="A20" s="9" t="s">
        <v>39</v>
      </c>
      <c r="B20" s="9" t="s">
        <v>25</v>
      </c>
      <c r="C20" s="10">
        <f>SUMIFS(Data!$I$2:$I$151,Data!$E$2:$E$151,A20,Data!$J$2:$J$151,"Closed")</f>
        <v>429650</v>
      </c>
      <c r="D20" s="15">
        <v>290000</v>
      </c>
      <c r="E20" s="11">
        <f t="shared" si="0"/>
        <v>1.481551724137931</v>
      </c>
    </row>
    <row r="21" spans="1:7" x14ac:dyDescent="0.3">
      <c r="A21" s="9" t="s">
        <v>40</v>
      </c>
      <c r="B21" s="9" t="s">
        <v>26</v>
      </c>
      <c r="C21" s="10">
        <f>SUMIFS(Data!$I$2:$I$151,Data!$E$2:$E$151,A21,Data!$J$2:$J$151,"Closed")</f>
        <v>417450</v>
      </c>
      <c r="D21" s="15">
        <v>330000</v>
      </c>
      <c r="E21" s="11">
        <f t="shared" si="0"/>
        <v>1.2649999999999999</v>
      </c>
    </row>
    <row r="22" spans="1:7" x14ac:dyDescent="0.3">
      <c r="A22" s="9" t="s">
        <v>41</v>
      </c>
      <c r="B22" s="9" t="s">
        <v>26</v>
      </c>
      <c r="C22" s="10">
        <f>SUMIFS(Data!$I$2:$I$151,Data!$E$2:$E$151,A22,Data!$J$2:$J$151,"Closed")</f>
        <v>183000</v>
      </c>
      <c r="D22" s="15">
        <v>310000</v>
      </c>
      <c r="E22" s="11">
        <f t="shared" si="0"/>
        <v>0.5903225806451613</v>
      </c>
    </row>
    <row r="25" spans="1:7" x14ac:dyDescent="0.3">
      <c r="A25" s="7" t="s">
        <v>42</v>
      </c>
    </row>
    <row r="26" spans="1:7" ht="27.75" customHeight="1" x14ac:dyDescent="0.3">
      <c r="A26" s="8" t="s">
        <v>43</v>
      </c>
      <c r="B26" s="8" t="s">
        <v>17</v>
      </c>
      <c r="C26" s="8" t="s">
        <v>19</v>
      </c>
    </row>
    <row r="27" spans="1:7" x14ac:dyDescent="0.3">
      <c r="A27" s="9" t="s">
        <v>44</v>
      </c>
      <c r="B27" s="9">
        <f>COUNTIF(Data!$C$2:$C$151,A27)</f>
        <v>29</v>
      </c>
      <c r="C27" s="10">
        <f>SUMIFS(Data!$I$2:$I$151,Data!$C$2:$C$151,A27,Data!$J$2:$J$151,"Closed")</f>
        <v>581600</v>
      </c>
      <c r="G27" s="6" t="s">
        <v>45</v>
      </c>
    </row>
    <row r="28" spans="1:7" x14ac:dyDescent="0.3">
      <c r="A28" s="9" t="s">
        <v>46</v>
      </c>
      <c r="B28" s="9">
        <f>COUNTIF(Data!$C$2:$C$151,A28)</f>
        <v>21</v>
      </c>
      <c r="C28" s="10">
        <f>SUMIFS(Data!$I$2:$I$151,Data!$C$2:$C$151,A28,Data!$J$2:$J$151,"Closed")</f>
        <v>321350</v>
      </c>
    </row>
    <row r="29" spans="1:7" x14ac:dyDescent="0.3">
      <c r="A29" s="9" t="s">
        <v>47</v>
      </c>
      <c r="B29" s="9">
        <f>COUNTIF(Data!$C$2:$C$151,A29)</f>
        <v>38</v>
      </c>
      <c r="C29" s="10">
        <f>SUMIFS(Data!$I$2:$I$151,Data!$C$2:$C$151,A29,Data!$J$2:$J$151,"Closed")</f>
        <v>452450</v>
      </c>
    </row>
    <row r="30" spans="1:7" x14ac:dyDescent="0.3">
      <c r="A30" s="9" t="s">
        <v>48</v>
      </c>
      <c r="B30" s="9">
        <f>COUNTIF(Data!$C$2:$C$151,A30)</f>
        <v>15</v>
      </c>
      <c r="C30" s="10">
        <f>SUMIFS(Data!$I$2:$I$151,Data!$C$2:$C$151,A30,Data!$J$2:$J$151,"Closed")</f>
        <v>386250</v>
      </c>
    </row>
    <row r="31" spans="1:7" x14ac:dyDescent="0.3">
      <c r="A31" s="9" t="s">
        <v>49</v>
      </c>
      <c r="B31" s="9">
        <f>COUNTIF(Data!$C$2:$C$151,A31)</f>
        <v>25</v>
      </c>
      <c r="C31" s="10">
        <f>SUMIFS(Data!$I$2:$I$151,Data!$C$2:$C$151,A31,Data!$J$2:$J$151,"Closed")</f>
        <v>282050</v>
      </c>
    </row>
    <row r="32" spans="1:7" x14ac:dyDescent="0.3">
      <c r="A32" s="9" t="s">
        <v>50</v>
      </c>
      <c r="B32" s="9">
        <f>COUNTIF(Data!$C$2:$C$151,A32)</f>
        <v>22</v>
      </c>
      <c r="C32" s="10">
        <f>SUMIFS(Data!$I$2:$I$151,Data!$C$2:$C$151,A32,Data!$J$2:$J$151,"Closed")</f>
        <v>370100</v>
      </c>
    </row>
    <row r="33" spans="1:6" x14ac:dyDescent="0.3">
      <c r="A33" s="12" t="s">
        <v>27</v>
      </c>
      <c r="B33" s="13">
        <f>SUM(B27:B32)</f>
        <v>150</v>
      </c>
      <c r="C33" s="13">
        <f>SUM(C27:C32)</f>
        <v>2393800</v>
      </c>
    </row>
    <row r="36" spans="1:6" x14ac:dyDescent="0.3">
      <c r="A36" t="s">
        <v>51</v>
      </c>
    </row>
    <row r="37" spans="1:6" x14ac:dyDescent="0.3">
      <c r="A37" t="s">
        <v>52</v>
      </c>
    </row>
    <row r="39" spans="1:6" x14ac:dyDescent="0.3">
      <c r="A39" t="s">
        <v>53</v>
      </c>
    </row>
    <row r="40" spans="1:6" x14ac:dyDescent="0.3">
      <c r="A40" s="16" t="s">
        <v>54</v>
      </c>
      <c r="B40" s="17" t="s">
        <v>55</v>
      </c>
    </row>
    <row r="42" spans="1:6" x14ac:dyDescent="0.3">
      <c r="A42" s="18" t="s">
        <v>56</v>
      </c>
      <c r="B42" s="19" t="s">
        <v>57</v>
      </c>
      <c r="C42" s="20"/>
      <c r="D42" s="20"/>
      <c r="E42" s="20"/>
      <c r="F42" s="21"/>
    </row>
    <row r="43" spans="1:6" x14ac:dyDescent="0.3">
      <c r="A43" s="22" t="s">
        <v>16</v>
      </c>
      <c r="B43" s="23" t="s">
        <v>58</v>
      </c>
      <c r="C43" s="24" t="s">
        <v>59</v>
      </c>
      <c r="D43" s="24" t="s">
        <v>60</v>
      </c>
      <c r="E43" s="24" t="s">
        <v>61</v>
      </c>
      <c r="F43" s="25" t="s">
        <v>62</v>
      </c>
    </row>
    <row r="44" spans="1:6" x14ac:dyDescent="0.3">
      <c r="A44" s="26" t="s">
        <v>25</v>
      </c>
      <c r="B44" s="27">
        <v>167950</v>
      </c>
      <c r="C44" s="28">
        <v>338600</v>
      </c>
      <c r="D44" s="28">
        <v>116000</v>
      </c>
      <c r="E44" s="29">
        <v>13250</v>
      </c>
      <c r="F44" s="30">
        <v>635800</v>
      </c>
    </row>
    <row r="45" spans="1:6" x14ac:dyDescent="0.3">
      <c r="A45" s="31" t="s">
        <v>21</v>
      </c>
      <c r="B45" s="32">
        <v>187500</v>
      </c>
      <c r="C45" s="33">
        <v>183600</v>
      </c>
      <c r="D45" s="33">
        <v>127450</v>
      </c>
      <c r="E45" s="34">
        <v>18300</v>
      </c>
      <c r="F45" s="35">
        <v>516850</v>
      </c>
    </row>
    <row r="46" spans="1:6" x14ac:dyDescent="0.3">
      <c r="A46" s="31" t="s">
        <v>23</v>
      </c>
      <c r="B46" s="32">
        <v>103000</v>
      </c>
      <c r="C46" s="33">
        <v>395300</v>
      </c>
      <c r="D46" s="33">
        <v>112050</v>
      </c>
      <c r="E46" s="34">
        <v>30350</v>
      </c>
      <c r="F46" s="35">
        <v>640700</v>
      </c>
    </row>
    <row r="47" spans="1:6" x14ac:dyDescent="0.3">
      <c r="A47" s="31" t="s">
        <v>26</v>
      </c>
      <c r="B47" s="36">
        <v>94600</v>
      </c>
      <c r="C47" s="37">
        <v>319200</v>
      </c>
      <c r="D47" s="37">
        <v>160850</v>
      </c>
      <c r="E47" s="38">
        <v>25800</v>
      </c>
      <c r="F47" s="39">
        <v>600450</v>
      </c>
    </row>
    <row r="48" spans="1:6" x14ac:dyDescent="0.3">
      <c r="A48" s="40" t="s">
        <v>62</v>
      </c>
      <c r="B48" s="41">
        <v>553050</v>
      </c>
      <c r="C48" s="42">
        <v>1236700</v>
      </c>
      <c r="D48" s="42">
        <v>516350</v>
      </c>
      <c r="E48" s="43">
        <v>87700</v>
      </c>
      <c r="F48" s="44">
        <v>2393800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1"/>
  <sheetViews>
    <sheetView zoomScaleNormal="100" workbookViewId="0">
      <pane ySplit="1" topLeftCell="A148" activePane="bottomLeft" state="frozen"/>
      <selection pane="bottomLeft" activeCell="L2" sqref="L2:L8"/>
    </sheetView>
  </sheetViews>
  <sheetFormatPr defaultColWidth="8.6640625" defaultRowHeight="14.4" x14ac:dyDescent="0.3"/>
  <cols>
    <col min="1" max="1" width="11" customWidth="1"/>
    <col min="2" max="2" width="13" customWidth="1"/>
    <col min="3" max="3" width="8" customWidth="1"/>
    <col min="4" max="4" width="10" customWidth="1"/>
    <col min="5" max="5" width="16" customWidth="1"/>
    <col min="6" max="6" width="13" customWidth="1"/>
    <col min="7" max="7" width="8" customWidth="1"/>
    <col min="8" max="8" width="15" customWidth="1"/>
    <col min="9" max="9" width="14" customWidth="1"/>
    <col min="10" max="10" width="11" customWidth="1"/>
    <col min="12" max="12" width="52" customWidth="1"/>
  </cols>
  <sheetData>
    <row r="1" spans="1:12" x14ac:dyDescent="0.3">
      <c r="A1" s="8" t="s">
        <v>63</v>
      </c>
      <c r="B1" s="8" t="s">
        <v>64</v>
      </c>
      <c r="C1" s="8" t="s">
        <v>43</v>
      </c>
      <c r="D1" s="8" t="s">
        <v>16</v>
      </c>
      <c r="E1" s="8" t="s">
        <v>29</v>
      </c>
      <c r="F1" s="8" t="s">
        <v>57</v>
      </c>
      <c r="G1" s="8" t="s">
        <v>65</v>
      </c>
      <c r="H1" s="8" t="s">
        <v>66</v>
      </c>
      <c r="I1" s="8" t="s">
        <v>67</v>
      </c>
      <c r="J1" s="8" t="s">
        <v>54</v>
      </c>
      <c r="L1" s="7"/>
    </row>
    <row r="2" spans="1:12" x14ac:dyDescent="0.3">
      <c r="A2" s="45" t="s">
        <v>68</v>
      </c>
      <c r="B2" s="46">
        <v>46105</v>
      </c>
      <c r="C2" s="9" t="str">
        <f t="shared" ref="C2:C33" si="0">TEXT(B2,"mmm")</f>
        <v>Mar</v>
      </c>
      <c r="D2" s="45" t="s">
        <v>23</v>
      </c>
      <c r="E2" s="45" t="s">
        <v>36</v>
      </c>
      <c r="F2" s="45" t="s">
        <v>61</v>
      </c>
      <c r="G2" s="45">
        <v>6</v>
      </c>
      <c r="H2" s="15">
        <v>150</v>
      </c>
      <c r="I2" s="10">
        <f t="shared" ref="I2:I33" si="1">G2*H2</f>
        <v>900</v>
      </c>
      <c r="J2" s="45" t="s">
        <v>55</v>
      </c>
      <c r="L2" s="47"/>
    </row>
    <row r="3" spans="1:12" x14ac:dyDescent="0.3">
      <c r="A3" s="45" t="s">
        <v>69</v>
      </c>
      <c r="B3" s="46">
        <v>46172</v>
      </c>
      <c r="C3" s="9" t="str">
        <f t="shared" si="0"/>
        <v>May</v>
      </c>
      <c r="D3" s="45" t="s">
        <v>21</v>
      </c>
      <c r="E3" s="45" t="s">
        <v>34</v>
      </c>
      <c r="F3" s="45" t="s">
        <v>58</v>
      </c>
      <c r="G3" s="45">
        <v>2</v>
      </c>
      <c r="H3" s="15">
        <v>1900</v>
      </c>
      <c r="I3" s="10">
        <f t="shared" si="1"/>
        <v>3800</v>
      </c>
      <c r="J3" s="45" t="s">
        <v>55</v>
      </c>
      <c r="L3" s="47"/>
    </row>
    <row r="4" spans="1:12" x14ac:dyDescent="0.3">
      <c r="A4" s="45" t="s">
        <v>70</v>
      </c>
      <c r="B4" s="46">
        <v>46084</v>
      </c>
      <c r="C4" s="9" t="str">
        <f t="shared" si="0"/>
        <v>Mar</v>
      </c>
      <c r="D4" s="45" t="s">
        <v>21</v>
      </c>
      <c r="E4" s="45" t="s">
        <v>32</v>
      </c>
      <c r="F4" s="45" t="s">
        <v>61</v>
      </c>
      <c r="G4" s="45">
        <v>4</v>
      </c>
      <c r="H4" s="15">
        <v>150</v>
      </c>
      <c r="I4" s="10">
        <f t="shared" si="1"/>
        <v>600</v>
      </c>
      <c r="J4" s="45" t="s">
        <v>55</v>
      </c>
      <c r="L4" s="47"/>
    </row>
    <row r="5" spans="1:12" x14ac:dyDescent="0.3">
      <c r="A5" s="45" t="s">
        <v>71</v>
      </c>
      <c r="B5" s="46">
        <v>46184</v>
      </c>
      <c r="C5" s="9" t="str">
        <f t="shared" si="0"/>
        <v>Jun</v>
      </c>
      <c r="D5" s="45" t="s">
        <v>21</v>
      </c>
      <c r="E5" s="45" t="s">
        <v>32</v>
      </c>
      <c r="F5" s="45" t="s">
        <v>61</v>
      </c>
      <c r="G5" s="45">
        <v>9</v>
      </c>
      <c r="H5" s="15">
        <v>150</v>
      </c>
      <c r="I5" s="10">
        <f t="shared" si="1"/>
        <v>1350</v>
      </c>
      <c r="J5" s="45" t="s">
        <v>72</v>
      </c>
      <c r="L5" s="47"/>
    </row>
    <row r="6" spans="1:12" x14ac:dyDescent="0.3">
      <c r="A6" s="45" t="s">
        <v>73</v>
      </c>
      <c r="B6" s="46">
        <v>46057</v>
      </c>
      <c r="C6" s="9" t="str">
        <f t="shared" si="0"/>
        <v>Feb</v>
      </c>
      <c r="D6" s="45" t="s">
        <v>25</v>
      </c>
      <c r="E6" s="45" t="s">
        <v>39</v>
      </c>
      <c r="F6" s="45" t="s">
        <v>61</v>
      </c>
      <c r="G6" s="45">
        <v>9</v>
      </c>
      <c r="H6" s="15">
        <v>250</v>
      </c>
      <c r="I6" s="10">
        <f t="shared" si="1"/>
        <v>2250</v>
      </c>
      <c r="J6" s="45" t="s">
        <v>55</v>
      </c>
      <c r="L6" s="47"/>
    </row>
    <row r="7" spans="1:12" x14ac:dyDescent="0.3">
      <c r="A7" s="45" t="s">
        <v>74</v>
      </c>
      <c r="B7" s="46">
        <v>46197</v>
      </c>
      <c r="C7" s="9" t="str">
        <f t="shared" si="0"/>
        <v>Jun</v>
      </c>
      <c r="D7" s="45" t="s">
        <v>23</v>
      </c>
      <c r="E7" s="45" t="s">
        <v>36</v>
      </c>
      <c r="F7" s="45" t="s">
        <v>59</v>
      </c>
      <c r="G7" s="45">
        <v>6</v>
      </c>
      <c r="H7" s="15">
        <v>4350</v>
      </c>
      <c r="I7" s="10">
        <f t="shared" si="1"/>
        <v>26100</v>
      </c>
      <c r="J7" s="45" t="s">
        <v>55</v>
      </c>
      <c r="L7" s="47"/>
    </row>
    <row r="8" spans="1:12" x14ac:dyDescent="0.3">
      <c r="A8" s="45" t="s">
        <v>75</v>
      </c>
      <c r="B8" s="46">
        <v>46047</v>
      </c>
      <c r="C8" s="9" t="str">
        <f t="shared" si="0"/>
        <v>Jan</v>
      </c>
      <c r="D8" s="45" t="s">
        <v>21</v>
      </c>
      <c r="E8" s="45" t="s">
        <v>34</v>
      </c>
      <c r="F8" s="45" t="s">
        <v>59</v>
      </c>
      <c r="G8" s="45">
        <v>13</v>
      </c>
      <c r="H8" s="15">
        <v>4450</v>
      </c>
      <c r="I8" s="10">
        <f t="shared" si="1"/>
        <v>57850</v>
      </c>
      <c r="J8" s="45" t="s">
        <v>55</v>
      </c>
      <c r="L8" s="17"/>
    </row>
    <row r="9" spans="1:12" x14ac:dyDescent="0.3">
      <c r="A9" s="45" t="s">
        <v>76</v>
      </c>
      <c r="B9" s="46">
        <v>46103</v>
      </c>
      <c r="C9" s="9" t="str">
        <f t="shared" si="0"/>
        <v>Mar</v>
      </c>
      <c r="D9" s="45" t="s">
        <v>26</v>
      </c>
      <c r="E9" s="45" t="s">
        <v>40</v>
      </c>
      <c r="F9" s="45" t="s">
        <v>61</v>
      </c>
      <c r="G9" s="45">
        <v>12</v>
      </c>
      <c r="H9" s="15">
        <v>400</v>
      </c>
      <c r="I9" s="10">
        <f t="shared" si="1"/>
        <v>4800</v>
      </c>
      <c r="J9" s="45" t="s">
        <v>55</v>
      </c>
    </row>
    <row r="10" spans="1:12" x14ac:dyDescent="0.3">
      <c r="A10" s="45" t="s">
        <v>77</v>
      </c>
      <c r="B10" s="46">
        <v>46085</v>
      </c>
      <c r="C10" s="9" t="str">
        <f t="shared" si="0"/>
        <v>Mar</v>
      </c>
      <c r="D10" s="45" t="s">
        <v>21</v>
      </c>
      <c r="E10" s="45" t="s">
        <v>34</v>
      </c>
      <c r="F10" s="45" t="s">
        <v>60</v>
      </c>
      <c r="G10" s="45">
        <v>12</v>
      </c>
      <c r="H10" s="15">
        <v>2850</v>
      </c>
      <c r="I10" s="10">
        <f t="shared" si="1"/>
        <v>34200</v>
      </c>
      <c r="J10" s="45" t="s">
        <v>55</v>
      </c>
    </row>
    <row r="11" spans="1:12" x14ac:dyDescent="0.3">
      <c r="A11" s="45" t="s">
        <v>78</v>
      </c>
      <c r="B11" s="46">
        <v>46137</v>
      </c>
      <c r="C11" s="9" t="str">
        <f t="shared" si="0"/>
        <v>Apr</v>
      </c>
      <c r="D11" s="45" t="s">
        <v>25</v>
      </c>
      <c r="E11" s="45" t="s">
        <v>38</v>
      </c>
      <c r="F11" s="45" t="s">
        <v>59</v>
      </c>
      <c r="G11" s="45">
        <v>13</v>
      </c>
      <c r="H11" s="15">
        <v>2850</v>
      </c>
      <c r="I11" s="10">
        <f t="shared" si="1"/>
        <v>37050</v>
      </c>
      <c r="J11" s="45" t="s">
        <v>55</v>
      </c>
    </row>
    <row r="12" spans="1:12" x14ac:dyDescent="0.3">
      <c r="A12" s="45" t="s">
        <v>79</v>
      </c>
      <c r="B12" s="46">
        <v>46110</v>
      </c>
      <c r="C12" s="9" t="str">
        <f t="shared" si="0"/>
        <v>Mar</v>
      </c>
      <c r="D12" s="45" t="s">
        <v>23</v>
      </c>
      <c r="E12" s="45" t="s">
        <v>36</v>
      </c>
      <c r="F12" s="45" t="s">
        <v>61</v>
      </c>
      <c r="G12" s="45">
        <v>13</v>
      </c>
      <c r="H12" s="15">
        <v>450</v>
      </c>
      <c r="I12" s="10">
        <f t="shared" si="1"/>
        <v>5850</v>
      </c>
      <c r="J12" s="45" t="s">
        <v>55</v>
      </c>
    </row>
    <row r="13" spans="1:12" x14ac:dyDescent="0.3">
      <c r="A13" s="45" t="s">
        <v>80</v>
      </c>
      <c r="B13" s="46">
        <v>46165</v>
      </c>
      <c r="C13" s="9" t="str">
        <f t="shared" si="0"/>
        <v>May</v>
      </c>
      <c r="D13" s="45" t="s">
        <v>25</v>
      </c>
      <c r="E13" s="45" t="s">
        <v>39</v>
      </c>
      <c r="F13" s="45" t="s">
        <v>60</v>
      </c>
      <c r="G13" s="45">
        <v>10</v>
      </c>
      <c r="H13" s="15">
        <v>3400</v>
      </c>
      <c r="I13" s="10">
        <f t="shared" si="1"/>
        <v>34000</v>
      </c>
      <c r="J13" s="45" t="s">
        <v>55</v>
      </c>
    </row>
    <row r="14" spans="1:12" x14ac:dyDescent="0.3">
      <c r="A14" s="45" t="s">
        <v>81</v>
      </c>
      <c r="B14" s="46">
        <v>46139</v>
      </c>
      <c r="C14" s="9" t="str">
        <f t="shared" si="0"/>
        <v>Apr</v>
      </c>
      <c r="D14" s="45" t="s">
        <v>21</v>
      </c>
      <c r="E14" s="45" t="s">
        <v>32</v>
      </c>
      <c r="F14" s="45" t="s">
        <v>59</v>
      </c>
      <c r="G14" s="45">
        <v>1</v>
      </c>
      <c r="H14" s="15">
        <v>3350</v>
      </c>
      <c r="I14" s="10">
        <f t="shared" si="1"/>
        <v>3350</v>
      </c>
      <c r="J14" s="45" t="s">
        <v>55</v>
      </c>
    </row>
    <row r="15" spans="1:12" x14ac:dyDescent="0.3">
      <c r="A15" s="45" t="s">
        <v>82</v>
      </c>
      <c r="B15" s="46">
        <v>46202</v>
      </c>
      <c r="C15" s="9" t="str">
        <f t="shared" si="0"/>
        <v>Jun</v>
      </c>
      <c r="D15" s="45" t="s">
        <v>25</v>
      </c>
      <c r="E15" s="45" t="s">
        <v>39</v>
      </c>
      <c r="F15" s="45" t="s">
        <v>61</v>
      </c>
      <c r="G15" s="45">
        <v>1</v>
      </c>
      <c r="H15" s="15">
        <v>350</v>
      </c>
      <c r="I15" s="10">
        <f t="shared" si="1"/>
        <v>350</v>
      </c>
      <c r="J15" s="45" t="s">
        <v>55</v>
      </c>
    </row>
    <row r="16" spans="1:12" x14ac:dyDescent="0.3">
      <c r="A16" s="45" t="s">
        <v>83</v>
      </c>
      <c r="B16" s="46">
        <v>46141</v>
      </c>
      <c r="C16" s="9" t="str">
        <f t="shared" si="0"/>
        <v>Apr</v>
      </c>
      <c r="D16" s="45" t="s">
        <v>25</v>
      </c>
      <c r="E16" s="45" t="s">
        <v>38</v>
      </c>
      <c r="F16" s="45" t="s">
        <v>58</v>
      </c>
      <c r="G16" s="45">
        <v>4</v>
      </c>
      <c r="H16" s="15">
        <v>3750</v>
      </c>
      <c r="I16" s="10">
        <f t="shared" si="1"/>
        <v>15000</v>
      </c>
      <c r="J16" s="45" t="s">
        <v>55</v>
      </c>
    </row>
    <row r="17" spans="1:10" x14ac:dyDescent="0.3">
      <c r="A17" s="45" t="s">
        <v>84</v>
      </c>
      <c r="B17" s="46">
        <v>46096</v>
      </c>
      <c r="C17" s="9" t="str">
        <f t="shared" si="0"/>
        <v>Mar</v>
      </c>
      <c r="D17" s="45" t="s">
        <v>23</v>
      </c>
      <c r="E17" s="45" t="s">
        <v>37</v>
      </c>
      <c r="F17" s="45" t="s">
        <v>58</v>
      </c>
      <c r="G17" s="45">
        <v>2</v>
      </c>
      <c r="H17" s="15">
        <v>3050</v>
      </c>
      <c r="I17" s="10">
        <f t="shared" si="1"/>
        <v>6100</v>
      </c>
      <c r="J17" s="45" t="s">
        <v>55</v>
      </c>
    </row>
    <row r="18" spans="1:10" x14ac:dyDescent="0.3">
      <c r="A18" s="45" t="s">
        <v>85</v>
      </c>
      <c r="B18" s="46">
        <v>46065</v>
      </c>
      <c r="C18" s="9" t="str">
        <f t="shared" si="0"/>
        <v>Feb</v>
      </c>
      <c r="D18" s="45" t="s">
        <v>26</v>
      </c>
      <c r="E18" s="45" t="s">
        <v>40</v>
      </c>
      <c r="F18" s="45" t="s">
        <v>61</v>
      </c>
      <c r="G18" s="45">
        <v>14</v>
      </c>
      <c r="H18" s="15">
        <v>550</v>
      </c>
      <c r="I18" s="10">
        <f t="shared" si="1"/>
        <v>7700</v>
      </c>
      <c r="J18" s="45" t="s">
        <v>55</v>
      </c>
    </row>
    <row r="19" spans="1:10" x14ac:dyDescent="0.3">
      <c r="A19" s="45" t="s">
        <v>86</v>
      </c>
      <c r="B19" s="46">
        <v>46133</v>
      </c>
      <c r="C19" s="9" t="str">
        <f t="shared" si="0"/>
        <v>Apr</v>
      </c>
      <c r="D19" s="45" t="s">
        <v>25</v>
      </c>
      <c r="E19" s="45" t="s">
        <v>39</v>
      </c>
      <c r="F19" s="45" t="s">
        <v>61</v>
      </c>
      <c r="G19" s="45">
        <v>4</v>
      </c>
      <c r="H19" s="15">
        <v>400</v>
      </c>
      <c r="I19" s="10">
        <f t="shared" si="1"/>
        <v>1600</v>
      </c>
      <c r="J19" s="45" t="s">
        <v>55</v>
      </c>
    </row>
    <row r="20" spans="1:10" x14ac:dyDescent="0.3">
      <c r="A20" s="45" t="s">
        <v>87</v>
      </c>
      <c r="B20" s="46">
        <v>46061</v>
      </c>
      <c r="C20" s="9" t="str">
        <f t="shared" si="0"/>
        <v>Feb</v>
      </c>
      <c r="D20" s="45" t="s">
        <v>21</v>
      </c>
      <c r="E20" s="45" t="s">
        <v>32</v>
      </c>
      <c r="F20" s="45" t="s">
        <v>58</v>
      </c>
      <c r="G20" s="45">
        <v>1</v>
      </c>
      <c r="H20" s="15">
        <v>2250</v>
      </c>
      <c r="I20" s="10">
        <f t="shared" si="1"/>
        <v>2250</v>
      </c>
      <c r="J20" s="45" t="s">
        <v>55</v>
      </c>
    </row>
    <row r="21" spans="1:10" x14ac:dyDescent="0.3">
      <c r="A21" s="45" t="s">
        <v>88</v>
      </c>
      <c r="B21" s="46">
        <v>46147</v>
      </c>
      <c r="C21" s="9" t="str">
        <f t="shared" si="0"/>
        <v>May</v>
      </c>
      <c r="D21" s="45" t="s">
        <v>23</v>
      </c>
      <c r="E21" s="45" t="s">
        <v>37</v>
      </c>
      <c r="F21" s="45" t="s">
        <v>60</v>
      </c>
      <c r="G21" s="45">
        <v>9</v>
      </c>
      <c r="H21" s="15">
        <v>2100</v>
      </c>
      <c r="I21" s="10">
        <f t="shared" si="1"/>
        <v>18900</v>
      </c>
      <c r="J21" s="45" t="s">
        <v>55</v>
      </c>
    </row>
    <row r="22" spans="1:10" x14ac:dyDescent="0.3">
      <c r="A22" s="45" t="s">
        <v>89</v>
      </c>
      <c r="B22" s="46">
        <v>46117</v>
      </c>
      <c r="C22" s="9" t="str">
        <f t="shared" si="0"/>
        <v>Apr</v>
      </c>
      <c r="D22" s="45" t="s">
        <v>25</v>
      </c>
      <c r="E22" s="45" t="s">
        <v>38</v>
      </c>
      <c r="F22" s="45" t="s">
        <v>58</v>
      </c>
      <c r="G22" s="45">
        <v>8</v>
      </c>
      <c r="H22" s="15">
        <v>4000</v>
      </c>
      <c r="I22" s="10">
        <f t="shared" si="1"/>
        <v>32000</v>
      </c>
      <c r="J22" s="45" t="s">
        <v>55</v>
      </c>
    </row>
    <row r="23" spans="1:10" x14ac:dyDescent="0.3">
      <c r="A23" s="45" t="s">
        <v>90</v>
      </c>
      <c r="B23" s="46">
        <v>46197</v>
      </c>
      <c r="C23" s="9" t="str">
        <f t="shared" si="0"/>
        <v>Jun</v>
      </c>
      <c r="D23" s="45" t="s">
        <v>26</v>
      </c>
      <c r="E23" s="45" t="s">
        <v>41</v>
      </c>
      <c r="F23" s="45" t="s">
        <v>61</v>
      </c>
      <c r="G23" s="45">
        <v>11</v>
      </c>
      <c r="H23" s="15">
        <v>450</v>
      </c>
      <c r="I23" s="10">
        <f t="shared" si="1"/>
        <v>4950</v>
      </c>
      <c r="J23" s="45" t="s">
        <v>55</v>
      </c>
    </row>
    <row r="24" spans="1:10" x14ac:dyDescent="0.3">
      <c r="A24" s="45" t="s">
        <v>91</v>
      </c>
      <c r="B24" s="46">
        <v>46125</v>
      </c>
      <c r="C24" s="9" t="str">
        <f t="shared" si="0"/>
        <v>Apr</v>
      </c>
      <c r="D24" s="45" t="s">
        <v>21</v>
      </c>
      <c r="E24" s="45" t="s">
        <v>34</v>
      </c>
      <c r="F24" s="45" t="s">
        <v>58</v>
      </c>
      <c r="G24" s="45">
        <v>3</v>
      </c>
      <c r="H24" s="15">
        <v>2000</v>
      </c>
      <c r="I24" s="10">
        <f t="shared" si="1"/>
        <v>6000</v>
      </c>
      <c r="J24" s="45" t="s">
        <v>72</v>
      </c>
    </row>
    <row r="25" spans="1:10" x14ac:dyDescent="0.3">
      <c r="A25" s="45" t="s">
        <v>92</v>
      </c>
      <c r="B25" s="46">
        <v>46051</v>
      </c>
      <c r="C25" s="9" t="str">
        <f t="shared" si="0"/>
        <v>Jan</v>
      </c>
      <c r="D25" s="45" t="s">
        <v>25</v>
      </c>
      <c r="E25" s="45" t="s">
        <v>38</v>
      </c>
      <c r="F25" s="45" t="s">
        <v>59</v>
      </c>
      <c r="G25" s="45">
        <v>9</v>
      </c>
      <c r="H25" s="15">
        <v>2800</v>
      </c>
      <c r="I25" s="10">
        <f t="shared" si="1"/>
        <v>25200</v>
      </c>
      <c r="J25" s="45" t="s">
        <v>55</v>
      </c>
    </row>
    <row r="26" spans="1:10" x14ac:dyDescent="0.3">
      <c r="A26" s="45" t="s">
        <v>93</v>
      </c>
      <c r="B26" s="46">
        <v>46048</v>
      </c>
      <c r="C26" s="9" t="str">
        <f t="shared" si="0"/>
        <v>Jan</v>
      </c>
      <c r="D26" s="45" t="s">
        <v>25</v>
      </c>
      <c r="E26" s="45" t="s">
        <v>39</v>
      </c>
      <c r="F26" s="45" t="s">
        <v>59</v>
      </c>
      <c r="G26" s="45">
        <v>3</v>
      </c>
      <c r="H26" s="15">
        <v>2700</v>
      </c>
      <c r="I26" s="10">
        <f t="shared" si="1"/>
        <v>8100</v>
      </c>
      <c r="J26" s="45" t="s">
        <v>55</v>
      </c>
    </row>
    <row r="27" spans="1:10" x14ac:dyDescent="0.3">
      <c r="A27" s="45" t="s">
        <v>94</v>
      </c>
      <c r="B27" s="46">
        <v>46185</v>
      </c>
      <c r="C27" s="9" t="str">
        <f t="shared" si="0"/>
        <v>Jun</v>
      </c>
      <c r="D27" s="45" t="s">
        <v>25</v>
      </c>
      <c r="E27" s="45" t="s">
        <v>38</v>
      </c>
      <c r="F27" s="45" t="s">
        <v>60</v>
      </c>
      <c r="G27" s="45">
        <v>2</v>
      </c>
      <c r="H27" s="15">
        <v>3100</v>
      </c>
      <c r="I27" s="10">
        <f t="shared" si="1"/>
        <v>6200</v>
      </c>
      <c r="J27" s="45" t="s">
        <v>55</v>
      </c>
    </row>
    <row r="28" spans="1:10" x14ac:dyDescent="0.3">
      <c r="A28" s="45" t="s">
        <v>95</v>
      </c>
      <c r="B28" s="46">
        <v>46147</v>
      </c>
      <c r="C28" s="9" t="str">
        <f t="shared" si="0"/>
        <v>May</v>
      </c>
      <c r="D28" s="45" t="s">
        <v>26</v>
      </c>
      <c r="E28" s="45" t="s">
        <v>40</v>
      </c>
      <c r="F28" s="45" t="s">
        <v>61</v>
      </c>
      <c r="G28" s="45">
        <v>2</v>
      </c>
      <c r="H28" s="15">
        <v>500</v>
      </c>
      <c r="I28" s="10">
        <f t="shared" si="1"/>
        <v>1000</v>
      </c>
      <c r="J28" s="45" t="s">
        <v>55</v>
      </c>
    </row>
    <row r="29" spans="1:10" x14ac:dyDescent="0.3">
      <c r="A29" s="45" t="s">
        <v>96</v>
      </c>
      <c r="B29" s="46">
        <v>46110</v>
      </c>
      <c r="C29" s="9" t="str">
        <f t="shared" si="0"/>
        <v>Mar</v>
      </c>
      <c r="D29" s="45" t="s">
        <v>25</v>
      </c>
      <c r="E29" s="45" t="s">
        <v>38</v>
      </c>
      <c r="F29" s="45" t="s">
        <v>61</v>
      </c>
      <c r="G29" s="45">
        <v>9</v>
      </c>
      <c r="H29" s="15">
        <v>250</v>
      </c>
      <c r="I29" s="10">
        <f t="shared" si="1"/>
        <v>2250</v>
      </c>
      <c r="J29" s="45" t="s">
        <v>55</v>
      </c>
    </row>
    <row r="30" spans="1:10" x14ac:dyDescent="0.3">
      <c r="A30" s="45" t="s">
        <v>97</v>
      </c>
      <c r="B30" s="46">
        <v>46115</v>
      </c>
      <c r="C30" s="9" t="str">
        <f t="shared" si="0"/>
        <v>Apr</v>
      </c>
      <c r="D30" s="45" t="s">
        <v>23</v>
      </c>
      <c r="E30" s="45" t="s">
        <v>36</v>
      </c>
      <c r="F30" s="45" t="s">
        <v>59</v>
      </c>
      <c r="G30" s="45">
        <v>12</v>
      </c>
      <c r="H30" s="15">
        <v>4900</v>
      </c>
      <c r="I30" s="10">
        <f t="shared" si="1"/>
        <v>58800</v>
      </c>
      <c r="J30" s="45" t="s">
        <v>55</v>
      </c>
    </row>
    <row r="31" spans="1:10" x14ac:dyDescent="0.3">
      <c r="A31" s="45" t="s">
        <v>98</v>
      </c>
      <c r="B31" s="46">
        <v>46089</v>
      </c>
      <c r="C31" s="9" t="str">
        <f t="shared" si="0"/>
        <v>Mar</v>
      </c>
      <c r="D31" s="45" t="s">
        <v>25</v>
      </c>
      <c r="E31" s="45" t="s">
        <v>39</v>
      </c>
      <c r="F31" s="45" t="s">
        <v>58</v>
      </c>
      <c r="G31" s="45">
        <v>11</v>
      </c>
      <c r="H31" s="15">
        <v>2900</v>
      </c>
      <c r="I31" s="10">
        <f t="shared" si="1"/>
        <v>31900</v>
      </c>
      <c r="J31" s="45" t="s">
        <v>55</v>
      </c>
    </row>
    <row r="32" spans="1:10" x14ac:dyDescent="0.3">
      <c r="A32" s="45" t="s">
        <v>99</v>
      </c>
      <c r="B32" s="46">
        <v>46080</v>
      </c>
      <c r="C32" s="9" t="str">
        <f t="shared" si="0"/>
        <v>Feb</v>
      </c>
      <c r="D32" s="45" t="s">
        <v>23</v>
      </c>
      <c r="E32" s="45" t="s">
        <v>36</v>
      </c>
      <c r="F32" s="45" t="s">
        <v>58</v>
      </c>
      <c r="G32" s="45">
        <v>4</v>
      </c>
      <c r="H32" s="15">
        <v>3050</v>
      </c>
      <c r="I32" s="10">
        <f t="shared" si="1"/>
        <v>12200</v>
      </c>
      <c r="J32" s="45" t="s">
        <v>55</v>
      </c>
    </row>
    <row r="33" spans="1:10" x14ac:dyDescent="0.3">
      <c r="A33" s="45" t="s">
        <v>100</v>
      </c>
      <c r="B33" s="46">
        <v>46155</v>
      </c>
      <c r="C33" s="9" t="str">
        <f t="shared" si="0"/>
        <v>May</v>
      </c>
      <c r="D33" s="45" t="s">
        <v>26</v>
      </c>
      <c r="E33" s="45" t="s">
        <v>41</v>
      </c>
      <c r="F33" s="45" t="s">
        <v>60</v>
      </c>
      <c r="G33" s="45">
        <v>8</v>
      </c>
      <c r="H33" s="15">
        <v>1250</v>
      </c>
      <c r="I33" s="10">
        <f t="shared" si="1"/>
        <v>10000</v>
      </c>
      <c r="J33" s="45" t="s">
        <v>72</v>
      </c>
    </row>
    <row r="34" spans="1:10" x14ac:dyDescent="0.3">
      <c r="A34" s="45" t="s">
        <v>101</v>
      </c>
      <c r="B34" s="46">
        <v>46089</v>
      </c>
      <c r="C34" s="9" t="str">
        <f t="shared" ref="C34:C65" si="2">TEXT(B34,"mmm")</f>
        <v>Mar</v>
      </c>
      <c r="D34" s="45" t="s">
        <v>23</v>
      </c>
      <c r="E34" s="45" t="s">
        <v>37</v>
      </c>
      <c r="F34" s="45" t="s">
        <v>60</v>
      </c>
      <c r="G34" s="45">
        <v>6</v>
      </c>
      <c r="H34" s="15">
        <v>2600</v>
      </c>
      <c r="I34" s="10">
        <f t="shared" ref="I34:I65" si="3">G34*H34</f>
        <v>15600</v>
      </c>
      <c r="J34" s="45" t="s">
        <v>55</v>
      </c>
    </row>
    <row r="35" spans="1:10" x14ac:dyDescent="0.3">
      <c r="A35" s="45" t="s">
        <v>102</v>
      </c>
      <c r="B35" s="46">
        <v>46043</v>
      </c>
      <c r="C35" s="9" t="str">
        <f t="shared" si="2"/>
        <v>Jan</v>
      </c>
      <c r="D35" s="45" t="s">
        <v>23</v>
      </c>
      <c r="E35" s="45" t="s">
        <v>37</v>
      </c>
      <c r="F35" s="45" t="s">
        <v>59</v>
      </c>
      <c r="G35" s="45">
        <v>4</v>
      </c>
      <c r="H35" s="15">
        <v>3200</v>
      </c>
      <c r="I35" s="10">
        <f t="shared" si="3"/>
        <v>12800</v>
      </c>
      <c r="J35" s="45" t="s">
        <v>55</v>
      </c>
    </row>
    <row r="36" spans="1:10" x14ac:dyDescent="0.3">
      <c r="A36" s="45" t="s">
        <v>103</v>
      </c>
      <c r="B36" s="46">
        <v>46146</v>
      </c>
      <c r="C36" s="9" t="str">
        <f t="shared" si="2"/>
        <v>May</v>
      </c>
      <c r="D36" s="45" t="s">
        <v>21</v>
      </c>
      <c r="E36" s="45" t="s">
        <v>32</v>
      </c>
      <c r="F36" s="45" t="s">
        <v>61</v>
      </c>
      <c r="G36" s="45">
        <v>14</v>
      </c>
      <c r="H36" s="15">
        <v>400</v>
      </c>
      <c r="I36" s="10">
        <f t="shared" si="3"/>
        <v>5600</v>
      </c>
      <c r="J36" s="45" t="s">
        <v>55</v>
      </c>
    </row>
    <row r="37" spans="1:10" x14ac:dyDescent="0.3">
      <c r="A37" s="45" t="s">
        <v>104</v>
      </c>
      <c r="B37" s="46">
        <v>46192</v>
      </c>
      <c r="C37" s="9" t="str">
        <f t="shared" si="2"/>
        <v>Jun</v>
      </c>
      <c r="D37" s="45" t="s">
        <v>21</v>
      </c>
      <c r="E37" s="45" t="s">
        <v>32</v>
      </c>
      <c r="F37" s="45" t="s">
        <v>61</v>
      </c>
      <c r="G37" s="45">
        <v>7</v>
      </c>
      <c r="H37" s="15">
        <v>300</v>
      </c>
      <c r="I37" s="10">
        <f t="shared" si="3"/>
        <v>2100</v>
      </c>
      <c r="J37" s="45" t="s">
        <v>55</v>
      </c>
    </row>
    <row r="38" spans="1:10" x14ac:dyDescent="0.3">
      <c r="A38" s="45" t="s">
        <v>105</v>
      </c>
      <c r="B38" s="46">
        <v>46185</v>
      </c>
      <c r="C38" s="9" t="str">
        <f t="shared" si="2"/>
        <v>Jun</v>
      </c>
      <c r="D38" s="45" t="s">
        <v>25</v>
      </c>
      <c r="E38" s="45" t="s">
        <v>39</v>
      </c>
      <c r="F38" s="45" t="s">
        <v>59</v>
      </c>
      <c r="G38" s="45">
        <v>12</v>
      </c>
      <c r="H38" s="15">
        <v>4800</v>
      </c>
      <c r="I38" s="10">
        <f t="shared" si="3"/>
        <v>57600</v>
      </c>
      <c r="J38" s="45" t="s">
        <v>55</v>
      </c>
    </row>
    <row r="39" spans="1:10" x14ac:dyDescent="0.3">
      <c r="A39" s="45" t="s">
        <v>106</v>
      </c>
      <c r="B39" s="46">
        <v>46044</v>
      </c>
      <c r="C39" s="9" t="str">
        <f t="shared" si="2"/>
        <v>Jan</v>
      </c>
      <c r="D39" s="45" t="s">
        <v>23</v>
      </c>
      <c r="E39" s="45" t="s">
        <v>37</v>
      </c>
      <c r="F39" s="45" t="s">
        <v>58</v>
      </c>
      <c r="G39" s="45">
        <v>13</v>
      </c>
      <c r="H39" s="15">
        <v>2200</v>
      </c>
      <c r="I39" s="10">
        <f t="shared" si="3"/>
        <v>28600</v>
      </c>
      <c r="J39" s="45" t="s">
        <v>55</v>
      </c>
    </row>
    <row r="40" spans="1:10" x14ac:dyDescent="0.3">
      <c r="A40" s="45" t="s">
        <v>107</v>
      </c>
      <c r="B40" s="46">
        <v>46190</v>
      </c>
      <c r="C40" s="9" t="str">
        <f t="shared" si="2"/>
        <v>Jun</v>
      </c>
      <c r="D40" s="45" t="s">
        <v>23</v>
      </c>
      <c r="E40" s="45" t="s">
        <v>36</v>
      </c>
      <c r="F40" s="45" t="s">
        <v>61</v>
      </c>
      <c r="G40" s="45">
        <v>1</v>
      </c>
      <c r="H40" s="15">
        <v>400</v>
      </c>
      <c r="I40" s="10">
        <f t="shared" si="3"/>
        <v>400</v>
      </c>
      <c r="J40" s="45" t="s">
        <v>55</v>
      </c>
    </row>
    <row r="41" spans="1:10" x14ac:dyDescent="0.3">
      <c r="A41" s="45" t="s">
        <v>108</v>
      </c>
      <c r="B41" s="46">
        <v>46026</v>
      </c>
      <c r="C41" s="9" t="str">
        <f t="shared" si="2"/>
        <v>Jan</v>
      </c>
      <c r="D41" s="45" t="s">
        <v>21</v>
      </c>
      <c r="E41" s="45" t="s">
        <v>32</v>
      </c>
      <c r="F41" s="45" t="s">
        <v>58</v>
      </c>
      <c r="G41" s="45">
        <v>14</v>
      </c>
      <c r="H41" s="15">
        <v>3150</v>
      </c>
      <c r="I41" s="10">
        <f t="shared" si="3"/>
        <v>44100</v>
      </c>
      <c r="J41" s="45" t="s">
        <v>72</v>
      </c>
    </row>
    <row r="42" spans="1:10" x14ac:dyDescent="0.3">
      <c r="A42" s="45" t="s">
        <v>109</v>
      </c>
      <c r="B42" s="46">
        <v>46077</v>
      </c>
      <c r="C42" s="9" t="str">
        <f t="shared" si="2"/>
        <v>Feb</v>
      </c>
      <c r="D42" s="45" t="s">
        <v>21</v>
      </c>
      <c r="E42" s="45" t="s">
        <v>32</v>
      </c>
      <c r="F42" s="45" t="s">
        <v>60</v>
      </c>
      <c r="G42" s="45">
        <v>13</v>
      </c>
      <c r="H42" s="15">
        <v>1850</v>
      </c>
      <c r="I42" s="10">
        <f t="shared" si="3"/>
        <v>24050</v>
      </c>
      <c r="J42" s="45" t="s">
        <v>55</v>
      </c>
    </row>
    <row r="43" spans="1:10" x14ac:dyDescent="0.3">
      <c r="A43" s="45" t="s">
        <v>110</v>
      </c>
      <c r="B43" s="46">
        <v>46173</v>
      </c>
      <c r="C43" s="9" t="str">
        <f t="shared" si="2"/>
        <v>May</v>
      </c>
      <c r="D43" s="45" t="s">
        <v>25</v>
      </c>
      <c r="E43" s="45" t="s">
        <v>38</v>
      </c>
      <c r="F43" s="45" t="s">
        <v>60</v>
      </c>
      <c r="G43" s="45">
        <v>1</v>
      </c>
      <c r="H43" s="15">
        <v>2900</v>
      </c>
      <c r="I43" s="10">
        <f t="shared" si="3"/>
        <v>2900</v>
      </c>
      <c r="J43" s="45" t="s">
        <v>55</v>
      </c>
    </row>
    <row r="44" spans="1:10" x14ac:dyDescent="0.3">
      <c r="A44" s="45" t="s">
        <v>111</v>
      </c>
      <c r="B44" s="46">
        <v>46113</v>
      </c>
      <c r="C44" s="9" t="str">
        <f t="shared" si="2"/>
        <v>Apr</v>
      </c>
      <c r="D44" s="45" t="s">
        <v>26</v>
      </c>
      <c r="E44" s="45" t="s">
        <v>40</v>
      </c>
      <c r="F44" s="45" t="s">
        <v>61</v>
      </c>
      <c r="G44" s="45">
        <v>9</v>
      </c>
      <c r="H44" s="15">
        <v>550</v>
      </c>
      <c r="I44" s="10">
        <f t="shared" si="3"/>
        <v>4950</v>
      </c>
      <c r="J44" s="45" t="s">
        <v>55</v>
      </c>
    </row>
    <row r="45" spans="1:10" x14ac:dyDescent="0.3">
      <c r="A45" s="45" t="s">
        <v>112</v>
      </c>
      <c r="B45" s="46">
        <v>46153</v>
      </c>
      <c r="C45" s="9" t="str">
        <f t="shared" si="2"/>
        <v>May</v>
      </c>
      <c r="D45" s="45" t="s">
        <v>21</v>
      </c>
      <c r="E45" s="45" t="s">
        <v>32</v>
      </c>
      <c r="F45" s="45" t="s">
        <v>61</v>
      </c>
      <c r="G45" s="45">
        <v>3</v>
      </c>
      <c r="H45" s="15">
        <v>250</v>
      </c>
      <c r="I45" s="10">
        <f t="shared" si="3"/>
        <v>750</v>
      </c>
      <c r="J45" s="45" t="s">
        <v>55</v>
      </c>
    </row>
    <row r="46" spans="1:10" x14ac:dyDescent="0.3">
      <c r="A46" s="45" t="s">
        <v>113</v>
      </c>
      <c r="B46" s="46">
        <v>46059</v>
      </c>
      <c r="C46" s="9" t="str">
        <f t="shared" si="2"/>
        <v>Feb</v>
      </c>
      <c r="D46" s="45" t="s">
        <v>26</v>
      </c>
      <c r="E46" s="45" t="s">
        <v>41</v>
      </c>
      <c r="F46" s="45" t="s">
        <v>59</v>
      </c>
      <c r="G46" s="45">
        <v>13</v>
      </c>
      <c r="H46" s="15">
        <v>4250</v>
      </c>
      <c r="I46" s="10">
        <f t="shared" si="3"/>
        <v>55250</v>
      </c>
      <c r="J46" s="45" t="s">
        <v>55</v>
      </c>
    </row>
    <row r="47" spans="1:10" x14ac:dyDescent="0.3">
      <c r="A47" s="45" t="s">
        <v>114</v>
      </c>
      <c r="B47" s="46">
        <v>46050</v>
      </c>
      <c r="C47" s="9" t="str">
        <f t="shared" si="2"/>
        <v>Jan</v>
      </c>
      <c r="D47" s="45" t="s">
        <v>21</v>
      </c>
      <c r="E47" s="45" t="s">
        <v>32</v>
      </c>
      <c r="F47" s="45" t="s">
        <v>58</v>
      </c>
      <c r="G47" s="45">
        <v>9</v>
      </c>
      <c r="H47" s="15">
        <v>2400</v>
      </c>
      <c r="I47" s="10">
        <f t="shared" si="3"/>
        <v>21600</v>
      </c>
      <c r="J47" s="45" t="s">
        <v>55</v>
      </c>
    </row>
    <row r="48" spans="1:10" x14ac:dyDescent="0.3">
      <c r="A48" s="45" t="s">
        <v>115</v>
      </c>
      <c r="B48" s="46">
        <v>46138</v>
      </c>
      <c r="C48" s="9" t="str">
        <f t="shared" si="2"/>
        <v>Apr</v>
      </c>
      <c r="D48" s="45" t="s">
        <v>21</v>
      </c>
      <c r="E48" s="45" t="s">
        <v>32</v>
      </c>
      <c r="F48" s="45" t="s">
        <v>59</v>
      </c>
      <c r="G48" s="45">
        <v>12</v>
      </c>
      <c r="H48" s="15">
        <v>3900</v>
      </c>
      <c r="I48" s="10">
        <f t="shared" si="3"/>
        <v>46800</v>
      </c>
      <c r="J48" s="45" t="s">
        <v>55</v>
      </c>
    </row>
    <row r="49" spans="1:10" x14ac:dyDescent="0.3">
      <c r="A49" s="45" t="s">
        <v>116</v>
      </c>
      <c r="B49" s="46">
        <v>46093</v>
      </c>
      <c r="C49" s="9" t="str">
        <f t="shared" si="2"/>
        <v>Mar</v>
      </c>
      <c r="D49" s="45" t="s">
        <v>26</v>
      </c>
      <c r="E49" s="45" t="s">
        <v>41</v>
      </c>
      <c r="F49" s="45" t="s">
        <v>61</v>
      </c>
      <c r="G49" s="45">
        <v>15</v>
      </c>
      <c r="H49" s="15">
        <v>550</v>
      </c>
      <c r="I49" s="10">
        <f t="shared" si="3"/>
        <v>8250</v>
      </c>
      <c r="J49" s="45" t="s">
        <v>72</v>
      </c>
    </row>
    <row r="50" spans="1:10" x14ac:dyDescent="0.3">
      <c r="A50" s="45" t="s">
        <v>117</v>
      </c>
      <c r="B50" s="46">
        <v>46166</v>
      </c>
      <c r="C50" s="9" t="str">
        <f t="shared" si="2"/>
        <v>May</v>
      </c>
      <c r="D50" s="45" t="s">
        <v>23</v>
      </c>
      <c r="E50" s="45" t="s">
        <v>37</v>
      </c>
      <c r="F50" s="45" t="s">
        <v>61</v>
      </c>
      <c r="G50" s="45">
        <v>8</v>
      </c>
      <c r="H50" s="15">
        <v>250</v>
      </c>
      <c r="I50" s="10">
        <f t="shared" si="3"/>
        <v>2000</v>
      </c>
      <c r="J50" s="45" t="s">
        <v>55</v>
      </c>
    </row>
    <row r="51" spans="1:10" x14ac:dyDescent="0.3">
      <c r="A51" s="45" t="s">
        <v>118</v>
      </c>
      <c r="B51" s="46">
        <v>46103</v>
      </c>
      <c r="C51" s="9" t="str">
        <f t="shared" si="2"/>
        <v>Mar</v>
      </c>
      <c r="D51" s="45" t="s">
        <v>21</v>
      </c>
      <c r="E51" s="45" t="s">
        <v>34</v>
      </c>
      <c r="F51" s="45" t="s">
        <v>58</v>
      </c>
      <c r="G51" s="45">
        <v>13</v>
      </c>
      <c r="H51" s="15">
        <v>3150</v>
      </c>
      <c r="I51" s="10">
        <f t="shared" si="3"/>
        <v>40950</v>
      </c>
      <c r="J51" s="45" t="s">
        <v>55</v>
      </c>
    </row>
    <row r="52" spans="1:10" x14ac:dyDescent="0.3">
      <c r="A52" s="45" t="s">
        <v>119</v>
      </c>
      <c r="B52" s="46">
        <v>46054</v>
      </c>
      <c r="C52" s="9" t="str">
        <f t="shared" si="2"/>
        <v>Feb</v>
      </c>
      <c r="D52" s="45" t="s">
        <v>23</v>
      </c>
      <c r="E52" s="45" t="s">
        <v>36</v>
      </c>
      <c r="F52" s="45" t="s">
        <v>60</v>
      </c>
      <c r="G52" s="45">
        <v>8</v>
      </c>
      <c r="H52" s="15">
        <v>1650</v>
      </c>
      <c r="I52" s="10">
        <f t="shared" si="3"/>
        <v>13200</v>
      </c>
      <c r="J52" s="45" t="s">
        <v>55</v>
      </c>
    </row>
    <row r="53" spans="1:10" x14ac:dyDescent="0.3">
      <c r="A53" s="45" t="s">
        <v>120</v>
      </c>
      <c r="B53" s="46">
        <v>46079</v>
      </c>
      <c r="C53" s="9" t="str">
        <f t="shared" si="2"/>
        <v>Feb</v>
      </c>
      <c r="D53" s="45" t="s">
        <v>21</v>
      </c>
      <c r="E53" s="45" t="s">
        <v>32</v>
      </c>
      <c r="F53" s="45" t="s">
        <v>61</v>
      </c>
      <c r="G53" s="45">
        <v>3</v>
      </c>
      <c r="H53" s="15">
        <v>500</v>
      </c>
      <c r="I53" s="10">
        <f t="shared" si="3"/>
        <v>1500</v>
      </c>
      <c r="J53" s="45" t="s">
        <v>55</v>
      </c>
    </row>
    <row r="54" spans="1:10" x14ac:dyDescent="0.3">
      <c r="A54" s="45" t="s">
        <v>121</v>
      </c>
      <c r="B54" s="46">
        <v>46203</v>
      </c>
      <c r="C54" s="9" t="str">
        <f t="shared" si="2"/>
        <v>Jun</v>
      </c>
      <c r="D54" s="45" t="s">
        <v>26</v>
      </c>
      <c r="E54" s="45" t="s">
        <v>41</v>
      </c>
      <c r="F54" s="45" t="s">
        <v>61</v>
      </c>
      <c r="G54" s="45">
        <v>6</v>
      </c>
      <c r="H54" s="15">
        <v>400</v>
      </c>
      <c r="I54" s="10">
        <f t="shared" si="3"/>
        <v>2400</v>
      </c>
      <c r="J54" s="45" t="s">
        <v>55</v>
      </c>
    </row>
    <row r="55" spans="1:10" x14ac:dyDescent="0.3">
      <c r="A55" s="45" t="s">
        <v>122</v>
      </c>
      <c r="B55" s="46">
        <v>46046</v>
      </c>
      <c r="C55" s="9" t="str">
        <f t="shared" si="2"/>
        <v>Jan</v>
      </c>
      <c r="D55" s="45" t="s">
        <v>25</v>
      </c>
      <c r="E55" s="45" t="s">
        <v>39</v>
      </c>
      <c r="F55" s="45" t="s">
        <v>59</v>
      </c>
      <c r="G55" s="45">
        <v>12</v>
      </c>
      <c r="H55" s="15">
        <v>3550</v>
      </c>
      <c r="I55" s="10">
        <f t="shared" si="3"/>
        <v>42600</v>
      </c>
      <c r="J55" s="45" t="s">
        <v>55</v>
      </c>
    </row>
    <row r="56" spans="1:10" x14ac:dyDescent="0.3">
      <c r="A56" s="45" t="s">
        <v>123</v>
      </c>
      <c r="B56" s="46">
        <v>46027</v>
      </c>
      <c r="C56" s="9" t="str">
        <f t="shared" si="2"/>
        <v>Jan</v>
      </c>
      <c r="D56" s="45" t="s">
        <v>26</v>
      </c>
      <c r="E56" s="45" t="s">
        <v>40</v>
      </c>
      <c r="F56" s="45" t="s">
        <v>60</v>
      </c>
      <c r="G56" s="45">
        <v>2</v>
      </c>
      <c r="H56" s="15">
        <v>2850</v>
      </c>
      <c r="I56" s="10">
        <f t="shared" si="3"/>
        <v>5700</v>
      </c>
      <c r="J56" s="45" t="s">
        <v>55</v>
      </c>
    </row>
    <row r="57" spans="1:10" x14ac:dyDescent="0.3">
      <c r="A57" s="45" t="s">
        <v>124</v>
      </c>
      <c r="B57" s="46">
        <v>46081</v>
      </c>
      <c r="C57" s="9" t="str">
        <f t="shared" si="2"/>
        <v>Feb</v>
      </c>
      <c r="D57" s="45" t="s">
        <v>21</v>
      </c>
      <c r="E57" s="45" t="s">
        <v>32</v>
      </c>
      <c r="F57" s="45" t="s">
        <v>59</v>
      </c>
      <c r="G57" s="45">
        <v>5</v>
      </c>
      <c r="H57" s="15">
        <v>3300</v>
      </c>
      <c r="I57" s="10">
        <f t="shared" si="3"/>
        <v>16500</v>
      </c>
      <c r="J57" s="45" t="s">
        <v>55</v>
      </c>
    </row>
    <row r="58" spans="1:10" x14ac:dyDescent="0.3">
      <c r="A58" s="45" t="s">
        <v>125</v>
      </c>
      <c r="B58" s="46">
        <v>46056</v>
      </c>
      <c r="C58" s="9" t="str">
        <f t="shared" si="2"/>
        <v>Feb</v>
      </c>
      <c r="D58" s="45" t="s">
        <v>26</v>
      </c>
      <c r="E58" s="45" t="s">
        <v>41</v>
      </c>
      <c r="F58" s="45" t="s">
        <v>60</v>
      </c>
      <c r="G58" s="45">
        <v>12</v>
      </c>
      <c r="H58" s="15">
        <v>2450</v>
      </c>
      <c r="I58" s="10">
        <f t="shared" si="3"/>
        <v>29400</v>
      </c>
      <c r="J58" s="45" t="s">
        <v>55</v>
      </c>
    </row>
    <row r="59" spans="1:10" x14ac:dyDescent="0.3">
      <c r="A59" s="45" t="s">
        <v>126</v>
      </c>
      <c r="B59" s="46">
        <v>46106</v>
      </c>
      <c r="C59" s="9" t="str">
        <f t="shared" si="2"/>
        <v>Mar</v>
      </c>
      <c r="D59" s="45" t="s">
        <v>21</v>
      </c>
      <c r="E59" s="45" t="s">
        <v>32</v>
      </c>
      <c r="F59" s="45" t="s">
        <v>60</v>
      </c>
      <c r="G59" s="45">
        <v>7</v>
      </c>
      <c r="H59" s="15">
        <v>1350</v>
      </c>
      <c r="I59" s="10">
        <f t="shared" si="3"/>
        <v>9450</v>
      </c>
      <c r="J59" s="45" t="s">
        <v>55</v>
      </c>
    </row>
    <row r="60" spans="1:10" x14ac:dyDescent="0.3">
      <c r="A60" s="45" t="s">
        <v>127</v>
      </c>
      <c r="B60" s="46">
        <v>46041</v>
      </c>
      <c r="C60" s="9" t="str">
        <f t="shared" si="2"/>
        <v>Jan</v>
      </c>
      <c r="D60" s="45" t="s">
        <v>25</v>
      </c>
      <c r="E60" s="45" t="s">
        <v>39</v>
      </c>
      <c r="F60" s="45" t="s">
        <v>59</v>
      </c>
      <c r="G60" s="45">
        <v>2</v>
      </c>
      <c r="H60" s="15">
        <v>4500</v>
      </c>
      <c r="I60" s="10">
        <f t="shared" si="3"/>
        <v>9000</v>
      </c>
      <c r="J60" s="45" t="s">
        <v>55</v>
      </c>
    </row>
    <row r="61" spans="1:10" x14ac:dyDescent="0.3">
      <c r="A61" s="45" t="s">
        <v>128</v>
      </c>
      <c r="B61" s="46">
        <v>46178</v>
      </c>
      <c r="C61" s="9" t="str">
        <f t="shared" si="2"/>
        <v>Jun</v>
      </c>
      <c r="D61" s="45" t="s">
        <v>23</v>
      </c>
      <c r="E61" s="45" t="s">
        <v>37</v>
      </c>
      <c r="F61" s="45" t="s">
        <v>59</v>
      </c>
      <c r="G61" s="45">
        <v>1</v>
      </c>
      <c r="H61" s="15">
        <v>3300</v>
      </c>
      <c r="I61" s="10">
        <f t="shared" si="3"/>
        <v>3300</v>
      </c>
      <c r="J61" s="45" t="s">
        <v>55</v>
      </c>
    </row>
    <row r="62" spans="1:10" x14ac:dyDescent="0.3">
      <c r="A62" s="45" t="s">
        <v>129</v>
      </c>
      <c r="B62" s="46">
        <v>46109</v>
      </c>
      <c r="C62" s="9" t="str">
        <f t="shared" si="2"/>
        <v>Mar</v>
      </c>
      <c r="D62" s="45" t="s">
        <v>26</v>
      </c>
      <c r="E62" s="45" t="s">
        <v>40</v>
      </c>
      <c r="F62" s="45" t="s">
        <v>60</v>
      </c>
      <c r="G62" s="45">
        <v>2</v>
      </c>
      <c r="H62" s="15">
        <v>3150</v>
      </c>
      <c r="I62" s="10">
        <f t="shared" si="3"/>
        <v>6300</v>
      </c>
      <c r="J62" s="45" t="s">
        <v>55</v>
      </c>
    </row>
    <row r="63" spans="1:10" x14ac:dyDescent="0.3">
      <c r="A63" s="45" t="s">
        <v>130</v>
      </c>
      <c r="B63" s="46">
        <v>46064</v>
      </c>
      <c r="C63" s="9" t="str">
        <f t="shared" si="2"/>
        <v>Feb</v>
      </c>
      <c r="D63" s="45" t="s">
        <v>25</v>
      </c>
      <c r="E63" s="45" t="s">
        <v>39</v>
      </c>
      <c r="F63" s="45" t="s">
        <v>59</v>
      </c>
      <c r="G63" s="45">
        <v>11</v>
      </c>
      <c r="H63" s="15">
        <v>3050</v>
      </c>
      <c r="I63" s="10">
        <f t="shared" si="3"/>
        <v>33550</v>
      </c>
      <c r="J63" s="45" t="s">
        <v>55</v>
      </c>
    </row>
    <row r="64" spans="1:10" x14ac:dyDescent="0.3">
      <c r="A64" s="45" t="s">
        <v>131</v>
      </c>
      <c r="B64" s="46">
        <v>46101</v>
      </c>
      <c r="C64" s="9" t="str">
        <f t="shared" si="2"/>
        <v>Mar</v>
      </c>
      <c r="D64" s="45" t="s">
        <v>23</v>
      </c>
      <c r="E64" s="45" t="s">
        <v>36</v>
      </c>
      <c r="F64" s="45" t="s">
        <v>60</v>
      </c>
      <c r="G64" s="45">
        <v>5</v>
      </c>
      <c r="H64" s="15">
        <v>2600</v>
      </c>
      <c r="I64" s="10">
        <f t="shared" si="3"/>
        <v>13000</v>
      </c>
      <c r="J64" s="45" t="s">
        <v>55</v>
      </c>
    </row>
    <row r="65" spans="1:10" x14ac:dyDescent="0.3">
      <c r="A65" s="45" t="s">
        <v>132</v>
      </c>
      <c r="B65" s="46">
        <v>46111</v>
      </c>
      <c r="C65" s="9" t="str">
        <f t="shared" si="2"/>
        <v>Mar</v>
      </c>
      <c r="D65" s="45" t="s">
        <v>21</v>
      </c>
      <c r="E65" s="45" t="s">
        <v>32</v>
      </c>
      <c r="F65" s="45" t="s">
        <v>60</v>
      </c>
      <c r="G65" s="45">
        <v>9</v>
      </c>
      <c r="H65" s="15">
        <v>1300</v>
      </c>
      <c r="I65" s="10">
        <f t="shared" si="3"/>
        <v>11700</v>
      </c>
      <c r="J65" s="45" t="s">
        <v>55</v>
      </c>
    </row>
    <row r="66" spans="1:10" x14ac:dyDescent="0.3">
      <c r="A66" s="45" t="s">
        <v>133</v>
      </c>
      <c r="B66" s="46">
        <v>46144</v>
      </c>
      <c r="C66" s="9" t="str">
        <f t="shared" ref="C66:C97" si="4">TEXT(B66,"mmm")</f>
        <v>May</v>
      </c>
      <c r="D66" s="45" t="s">
        <v>23</v>
      </c>
      <c r="E66" s="45" t="s">
        <v>37</v>
      </c>
      <c r="F66" s="45" t="s">
        <v>61</v>
      </c>
      <c r="G66" s="45">
        <v>11</v>
      </c>
      <c r="H66" s="15">
        <v>200</v>
      </c>
      <c r="I66" s="10">
        <f t="shared" ref="I66:I97" si="5">G66*H66</f>
        <v>2200</v>
      </c>
      <c r="J66" s="45" t="s">
        <v>55</v>
      </c>
    </row>
    <row r="67" spans="1:10" x14ac:dyDescent="0.3">
      <c r="A67" s="45" t="s">
        <v>134</v>
      </c>
      <c r="B67" s="46">
        <v>46149</v>
      </c>
      <c r="C67" s="9" t="str">
        <f t="shared" si="4"/>
        <v>May</v>
      </c>
      <c r="D67" s="45" t="s">
        <v>26</v>
      </c>
      <c r="E67" s="45" t="s">
        <v>40</v>
      </c>
      <c r="F67" s="45" t="s">
        <v>60</v>
      </c>
      <c r="G67" s="45">
        <v>6</v>
      </c>
      <c r="H67" s="15">
        <v>3400</v>
      </c>
      <c r="I67" s="10">
        <f t="shared" si="5"/>
        <v>20400</v>
      </c>
      <c r="J67" s="45" t="s">
        <v>55</v>
      </c>
    </row>
    <row r="68" spans="1:10" x14ac:dyDescent="0.3">
      <c r="A68" s="45" t="s">
        <v>135</v>
      </c>
      <c r="B68" s="46">
        <v>46073</v>
      </c>
      <c r="C68" s="9" t="str">
        <f t="shared" si="4"/>
        <v>Feb</v>
      </c>
      <c r="D68" s="45" t="s">
        <v>23</v>
      </c>
      <c r="E68" s="45" t="s">
        <v>36</v>
      </c>
      <c r="F68" s="45" t="s">
        <v>61</v>
      </c>
      <c r="G68" s="45">
        <v>1</v>
      </c>
      <c r="H68" s="15">
        <v>400</v>
      </c>
      <c r="I68" s="10">
        <f t="shared" si="5"/>
        <v>400</v>
      </c>
      <c r="J68" s="45" t="s">
        <v>72</v>
      </c>
    </row>
    <row r="69" spans="1:10" x14ac:dyDescent="0.3">
      <c r="A69" s="45" t="s">
        <v>136</v>
      </c>
      <c r="B69" s="46">
        <v>46041</v>
      </c>
      <c r="C69" s="9" t="str">
        <f t="shared" si="4"/>
        <v>Jan</v>
      </c>
      <c r="D69" s="45" t="s">
        <v>25</v>
      </c>
      <c r="E69" s="45" t="s">
        <v>39</v>
      </c>
      <c r="F69" s="45" t="s">
        <v>61</v>
      </c>
      <c r="G69" s="45">
        <v>14</v>
      </c>
      <c r="H69" s="15">
        <v>250</v>
      </c>
      <c r="I69" s="10">
        <f t="shared" si="5"/>
        <v>3500</v>
      </c>
      <c r="J69" s="45" t="s">
        <v>55</v>
      </c>
    </row>
    <row r="70" spans="1:10" x14ac:dyDescent="0.3">
      <c r="A70" s="45" t="s">
        <v>137</v>
      </c>
      <c r="B70" s="46">
        <v>46152</v>
      </c>
      <c r="C70" s="9" t="str">
        <f t="shared" si="4"/>
        <v>May</v>
      </c>
      <c r="D70" s="45" t="s">
        <v>25</v>
      </c>
      <c r="E70" s="45" t="s">
        <v>39</v>
      </c>
      <c r="F70" s="45" t="s">
        <v>58</v>
      </c>
      <c r="G70" s="45">
        <v>3</v>
      </c>
      <c r="H70" s="15">
        <v>4000</v>
      </c>
      <c r="I70" s="10">
        <f t="shared" si="5"/>
        <v>12000</v>
      </c>
      <c r="J70" s="45" t="s">
        <v>55</v>
      </c>
    </row>
    <row r="71" spans="1:10" x14ac:dyDescent="0.3">
      <c r="A71" s="45" t="s">
        <v>138</v>
      </c>
      <c r="B71" s="46">
        <v>46063</v>
      </c>
      <c r="C71" s="9" t="str">
        <f t="shared" si="4"/>
        <v>Feb</v>
      </c>
      <c r="D71" s="45" t="s">
        <v>25</v>
      </c>
      <c r="E71" s="45" t="s">
        <v>39</v>
      </c>
      <c r="F71" s="45" t="s">
        <v>61</v>
      </c>
      <c r="G71" s="45">
        <v>9</v>
      </c>
      <c r="H71" s="15">
        <v>150</v>
      </c>
      <c r="I71" s="10">
        <f t="shared" si="5"/>
        <v>1350</v>
      </c>
      <c r="J71" s="45" t="s">
        <v>55</v>
      </c>
    </row>
    <row r="72" spans="1:10" x14ac:dyDescent="0.3">
      <c r="A72" s="45" t="s">
        <v>139</v>
      </c>
      <c r="B72" s="46">
        <v>46105</v>
      </c>
      <c r="C72" s="9" t="str">
        <f t="shared" si="4"/>
        <v>Mar</v>
      </c>
      <c r="D72" s="45" t="s">
        <v>23</v>
      </c>
      <c r="E72" s="45" t="s">
        <v>36</v>
      </c>
      <c r="F72" s="45" t="s">
        <v>59</v>
      </c>
      <c r="G72" s="45">
        <v>1</v>
      </c>
      <c r="H72" s="15">
        <v>3450</v>
      </c>
      <c r="I72" s="10">
        <f t="shared" si="5"/>
        <v>3450</v>
      </c>
      <c r="J72" s="45" t="s">
        <v>55</v>
      </c>
    </row>
    <row r="73" spans="1:10" x14ac:dyDescent="0.3">
      <c r="A73" s="45" t="s">
        <v>140</v>
      </c>
      <c r="B73" s="46">
        <v>46108</v>
      </c>
      <c r="C73" s="9" t="str">
        <f t="shared" si="4"/>
        <v>Mar</v>
      </c>
      <c r="D73" s="45" t="s">
        <v>26</v>
      </c>
      <c r="E73" s="45" t="s">
        <v>40</v>
      </c>
      <c r="F73" s="45" t="s">
        <v>59</v>
      </c>
      <c r="G73" s="45">
        <v>4</v>
      </c>
      <c r="H73" s="15">
        <v>4000</v>
      </c>
      <c r="I73" s="10">
        <f t="shared" si="5"/>
        <v>16000</v>
      </c>
      <c r="J73" s="45" t="s">
        <v>55</v>
      </c>
    </row>
    <row r="74" spans="1:10" x14ac:dyDescent="0.3">
      <c r="A74" s="45" t="s">
        <v>141</v>
      </c>
      <c r="B74" s="46">
        <v>46152</v>
      </c>
      <c r="C74" s="9" t="str">
        <f t="shared" si="4"/>
        <v>May</v>
      </c>
      <c r="D74" s="45" t="s">
        <v>21</v>
      </c>
      <c r="E74" s="45" t="s">
        <v>32</v>
      </c>
      <c r="F74" s="45" t="s">
        <v>59</v>
      </c>
      <c r="G74" s="45">
        <v>7</v>
      </c>
      <c r="H74" s="15">
        <v>3300</v>
      </c>
      <c r="I74" s="10">
        <f t="shared" si="5"/>
        <v>23100</v>
      </c>
      <c r="J74" s="45" t="s">
        <v>55</v>
      </c>
    </row>
    <row r="75" spans="1:10" x14ac:dyDescent="0.3">
      <c r="A75" s="45" t="s">
        <v>142</v>
      </c>
      <c r="B75" s="46">
        <v>46173</v>
      </c>
      <c r="C75" s="9" t="str">
        <f t="shared" si="4"/>
        <v>May</v>
      </c>
      <c r="D75" s="45" t="s">
        <v>21</v>
      </c>
      <c r="E75" s="45" t="s">
        <v>32</v>
      </c>
      <c r="F75" s="45" t="s">
        <v>61</v>
      </c>
      <c r="G75" s="45">
        <v>2</v>
      </c>
      <c r="H75" s="15">
        <v>150</v>
      </c>
      <c r="I75" s="10">
        <f t="shared" si="5"/>
        <v>300</v>
      </c>
      <c r="J75" s="45" t="s">
        <v>55</v>
      </c>
    </row>
    <row r="76" spans="1:10" x14ac:dyDescent="0.3">
      <c r="A76" s="45" t="s">
        <v>143</v>
      </c>
      <c r="B76" s="46">
        <v>46172</v>
      </c>
      <c r="C76" s="9" t="str">
        <f t="shared" si="4"/>
        <v>May</v>
      </c>
      <c r="D76" s="45" t="s">
        <v>23</v>
      </c>
      <c r="E76" s="45" t="s">
        <v>37</v>
      </c>
      <c r="F76" s="45" t="s">
        <v>61</v>
      </c>
      <c r="G76" s="45">
        <v>3</v>
      </c>
      <c r="H76" s="15">
        <v>400</v>
      </c>
      <c r="I76" s="10">
        <f t="shared" si="5"/>
        <v>1200</v>
      </c>
      <c r="J76" s="45" t="s">
        <v>55</v>
      </c>
    </row>
    <row r="77" spans="1:10" x14ac:dyDescent="0.3">
      <c r="A77" s="45" t="s">
        <v>144</v>
      </c>
      <c r="B77" s="46">
        <v>46095</v>
      </c>
      <c r="C77" s="9" t="str">
        <f t="shared" si="4"/>
        <v>Mar</v>
      </c>
      <c r="D77" s="45" t="s">
        <v>23</v>
      </c>
      <c r="E77" s="45" t="s">
        <v>37</v>
      </c>
      <c r="F77" s="45" t="s">
        <v>59</v>
      </c>
      <c r="G77" s="45">
        <v>12</v>
      </c>
      <c r="H77" s="15">
        <v>4750</v>
      </c>
      <c r="I77" s="10">
        <f t="shared" si="5"/>
        <v>57000</v>
      </c>
      <c r="J77" s="45" t="s">
        <v>72</v>
      </c>
    </row>
    <row r="78" spans="1:10" x14ac:dyDescent="0.3">
      <c r="A78" s="45" t="s">
        <v>145</v>
      </c>
      <c r="B78" s="46">
        <v>46202</v>
      </c>
      <c r="C78" s="9" t="str">
        <f t="shared" si="4"/>
        <v>Jun</v>
      </c>
      <c r="D78" s="45" t="s">
        <v>23</v>
      </c>
      <c r="E78" s="45" t="s">
        <v>36</v>
      </c>
      <c r="F78" s="45" t="s">
        <v>59</v>
      </c>
      <c r="G78" s="45">
        <v>2</v>
      </c>
      <c r="H78" s="15">
        <v>4650</v>
      </c>
      <c r="I78" s="10">
        <f t="shared" si="5"/>
        <v>9300</v>
      </c>
      <c r="J78" s="45" t="s">
        <v>55</v>
      </c>
    </row>
    <row r="79" spans="1:10" x14ac:dyDescent="0.3">
      <c r="A79" s="45" t="s">
        <v>146</v>
      </c>
      <c r="B79" s="46">
        <v>46030</v>
      </c>
      <c r="C79" s="9" t="str">
        <f t="shared" si="4"/>
        <v>Jan</v>
      </c>
      <c r="D79" s="45" t="s">
        <v>21</v>
      </c>
      <c r="E79" s="45" t="s">
        <v>32</v>
      </c>
      <c r="F79" s="45" t="s">
        <v>58</v>
      </c>
      <c r="G79" s="45">
        <v>7</v>
      </c>
      <c r="H79" s="15">
        <v>3800</v>
      </c>
      <c r="I79" s="10">
        <f t="shared" si="5"/>
        <v>26600</v>
      </c>
      <c r="J79" s="45" t="s">
        <v>55</v>
      </c>
    </row>
    <row r="80" spans="1:10" x14ac:dyDescent="0.3">
      <c r="A80" s="45" t="s">
        <v>147</v>
      </c>
      <c r="B80" s="46">
        <v>46138</v>
      </c>
      <c r="C80" s="9" t="str">
        <f t="shared" si="4"/>
        <v>Apr</v>
      </c>
      <c r="D80" s="45" t="s">
        <v>21</v>
      </c>
      <c r="E80" s="45" t="s">
        <v>32</v>
      </c>
      <c r="F80" s="45" t="s">
        <v>59</v>
      </c>
      <c r="G80" s="45">
        <v>8</v>
      </c>
      <c r="H80" s="15">
        <v>4500</v>
      </c>
      <c r="I80" s="10">
        <f t="shared" si="5"/>
        <v>36000</v>
      </c>
      <c r="J80" s="45" t="s">
        <v>55</v>
      </c>
    </row>
    <row r="81" spans="1:10" x14ac:dyDescent="0.3">
      <c r="A81" s="45" t="s">
        <v>148</v>
      </c>
      <c r="B81" s="46">
        <v>46090</v>
      </c>
      <c r="C81" s="9" t="str">
        <f t="shared" si="4"/>
        <v>Mar</v>
      </c>
      <c r="D81" s="45" t="s">
        <v>21</v>
      </c>
      <c r="E81" s="45" t="s">
        <v>32</v>
      </c>
      <c r="F81" s="45" t="s">
        <v>61</v>
      </c>
      <c r="G81" s="45">
        <v>11</v>
      </c>
      <c r="H81" s="15">
        <v>200</v>
      </c>
      <c r="I81" s="10">
        <f t="shared" si="5"/>
        <v>2200</v>
      </c>
      <c r="J81" s="45" t="s">
        <v>55</v>
      </c>
    </row>
    <row r="82" spans="1:10" x14ac:dyDescent="0.3">
      <c r="A82" s="45" t="s">
        <v>149</v>
      </c>
      <c r="B82" s="46">
        <v>46157</v>
      </c>
      <c r="C82" s="9" t="str">
        <f t="shared" si="4"/>
        <v>May</v>
      </c>
      <c r="D82" s="45" t="s">
        <v>21</v>
      </c>
      <c r="E82" s="45" t="s">
        <v>34</v>
      </c>
      <c r="F82" s="45" t="s">
        <v>61</v>
      </c>
      <c r="G82" s="45">
        <v>4</v>
      </c>
      <c r="H82" s="15">
        <v>350</v>
      </c>
      <c r="I82" s="10">
        <f t="shared" si="5"/>
        <v>1400</v>
      </c>
      <c r="J82" s="45" t="s">
        <v>55</v>
      </c>
    </row>
    <row r="83" spans="1:10" x14ac:dyDescent="0.3">
      <c r="A83" s="45" t="s">
        <v>150</v>
      </c>
      <c r="B83" s="46">
        <v>46075</v>
      </c>
      <c r="C83" s="9" t="str">
        <f t="shared" si="4"/>
        <v>Feb</v>
      </c>
      <c r="D83" s="45" t="s">
        <v>23</v>
      </c>
      <c r="E83" s="45" t="s">
        <v>36</v>
      </c>
      <c r="F83" s="45" t="s">
        <v>61</v>
      </c>
      <c r="G83" s="45">
        <v>8</v>
      </c>
      <c r="H83" s="15">
        <v>500</v>
      </c>
      <c r="I83" s="10">
        <f t="shared" si="5"/>
        <v>4000</v>
      </c>
      <c r="J83" s="45" t="s">
        <v>55</v>
      </c>
    </row>
    <row r="84" spans="1:10" x14ac:dyDescent="0.3">
      <c r="A84" s="45" t="s">
        <v>151</v>
      </c>
      <c r="B84" s="46">
        <v>46198</v>
      </c>
      <c r="C84" s="9" t="str">
        <f t="shared" si="4"/>
        <v>Jun</v>
      </c>
      <c r="D84" s="45" t="s">
        <v>25</v>
      </c>
      <c r="E84" s="45" t="s">
        <v>38</v>
      </c>
      <c r="F84" s="45" t="s">
        <v>59</v>
      </c>
      <c r="G84" s="45">
        <v>2</v>
      </c>
      <c r="H84" s="15">
        <v>4450</v>
      </c>
      <c r="I84" s="10">
        <f t="shared" si="5"/>
        <v>8900</v>
      </c>
      <c r="J84" s="45" t="s">
        <v>55</v>
      </c>
    </row>
    <row r="85" spans="1:10" x14ac:dyDescent="0.3">
      <c r="A85" s="45" t="s">
        <v>152</v>
      </c>
      <c r="B85" s="46">
        <v>46176</v>
      </c>
      <c r="C85" s="9" t="str">
        <f t="shared" si="4"/>
        <v>Jun</v>
      </c>
      <c r="D85" s="45" t="s">
        <v>23</v>
      </c>
      <c r="E85" s="45" t="s">
        <v>37</v>
      </c>
      <c r="F85" s="45" t="s">
        <v>60</v>
      </c>
      <c r="G85" s="45">
        <v>10</v>
      </c>
      <c r="H85" s="15">
        <v>2000</v>
      </c>
      <c r="I85" s="10">
        <f t="shared" si="5"/>
        <v>20000</v>
      </c>
      <c r="J85" s="45" t="s">
        <v>55</v>
      </c>
    </row>
    <row r="86" spans="1:10" x14ac:dyDescent="0.3">
      <c r="A86" s="45" t="s">
        <v>153</v>
      </c>
      <c r="B86" s="46">
        <v>46168</v>
      </c>
      <c r="C86" s="9" t="str">
        <f t="shared" si="4"/>
        <v>May</v>
      </c>
      <c r="D86" s="45" t="s">
        <v>23</v>
      </c>
      <c r="E86" s="45" t="s">
        <v>37</v>
      </c>
      <c r="F86" s="45" t="s">
        <v>59</v>
      </c>
      <c r="G86" s="45">
        <v>11</v>
      </c>
      <c r="H86" s="15">
        <v>4000</v>
      </c>
      <c r="I86" s="10">
        <f t="shared" si="5"/>
        <v>44000</v>
      </c>
      <c r="J86" s="45" t="s">
        <v>55</v>
      </c>
    </row>
    <row r="87" spans="1:10" x14ac:dyDescent="0.3">
      <c r="A87" s="45" t="s">
        <v>154</v>
      </c>
      <c r="B87" s="46">
        <v>46048</v>
      </c>
      <c r="C87" s="9" t="str">
        <f t="shared" si="4"/>
        <v>Jan</v>
      </c>
      <c r="D87" s="45" t="s">
        <v>23</v>
      </c>
      <c r="E87" s="45" t="s">
        <v>37</v>
      </c>
      <c r="F87" s="45" t="s">
        <v>61</v>
      </c>
      <c r="G87" s="45">
        <v>8</v>
      </c>
      <c r="H87" s="15">
        <v>350</v>
      </c>
      <c r="I87" s="10">
        <f t="shared" si="5"/>
        <v>2800</v>
      </c>
      <c r="J87" s="45" t="s">
        <v>55</v>
      </c>
    </row>
    <row r="88" spans="1:10" x14ac:dyDescent="0.3">
      <c r="A88" s="45" t="s">
        <v>155</v>
      </c>
      <c r="B88" s="46">
        <v>46142</v>
      </c>
      <c r="C88" s="9" t="str">
        <f t="shared" si="4"/>
        <v>Apr</v>
      </c>
      <c r="D88" s="45" t="s">
        <v>26</v>
      </c>
      <c r="E88" s="45" t="s">
        <v>40</v>
      </c>
      <c r="F88" s="45" t="s">
        <v>59</v>
      </c>
      <c r="G88" s="45">
        <v>15</v>
      </c>
      <c r="H88" s="15">
        <v>4250</v>
      </c>
      <c r="I88" s="10">
        <f t="shared" si="5"/>
        <v>63750</v>
      </c>
      <c r="J88" s="45" t="s">
        <v>55</v>
      </c>
    </row>
    <row r="89" spans="1:10" x14ac:dyDescent="0.3">
      <c r="A89" s="45" t="s">
        <v>156</v>
      </c>
      <c r="B89" s="46">
        <v>46144</v>
      </c>
      <c r="C89" s="9" t="str">
        <f t="shared" si="4"/>
        <v>May</v>
      </c>
      <c r="D89" s="45" t="s">
        <v>21</v>
      </c>
      <c r="E89" s="45" t="s">
        <v>34</v>
      </c>
      <c r="F89" s="45" t="s">
        <v>60</v>
      </c>
      <c r="G89" s="45">
        <v>5</v>
      </c>
      <c r="H89" s="15">
        <v>2650</v>
      </c>
      <c r="I89" s="10">
        <f t="shared" si="5"/>
        <v>13250</v>
      </c>
      <c r="J89" s="45" t="s">
        <v>55</v>
      </c>
    </row>
    <row r="90" spans="1:10" x14ac:dyDescent="0.3">
      <c r="A90" s="45" t="s">
        <v>157</v>
      </c>
      <c r="B90" s="46">
        <v>46122</v>
      </c>
      <c r="C90" s="9" t="str">
        <f t="shared" si="4"/>
        <v>Apr</v>
      </c>
      <c r="D90" s="45" t="s">
        <v>23</v>
      </c>
      <c r="E90" s="45" t="s">
        <v>36</v>
      </c>
      <c r="F90" s="45" t="s">
        <v>58</v>
      </c>
      <c r="G90" s="45">
        <v>12</v>
      </c>
      <c r="H90" s="15">
        <v>2000</v>
      </c>
      <c r="I90" s="10">
        <f t="shared" si="5"/>
        <v>24000</v>
      </c>
      <c r="J90" s="45" t="s">
        <v>55</v>
      </c>
    </row>
    <row r="91" spans="1:10" x14ac:dyDescent="0.3">
      <c r="A91" s="45" t="s">
        <v>158</v>
      </c>
      <c r="B91" s="46">
        <v>46157</v>
      </c>
      <c r="C91" s="9" t="str">
        <f t="shared" si="4"/>
        <v>May</v>
      </c>
      <c r="D91" s="45" t="s">
        <v>25</v>
      </c>
      <c r="E91" s="45" t="s">
        <v>39</v>
      </c>
      <c r="F91" s="45" t="s">
        <v>60</v>
      </c>
      <c r="G91" s="45">
        <v>15</v>
      </c>
      <c r="H91" s="15">
        <v>1600</v>
      </c>
      <c r="I91" s="10">
        <f t="shared" si="5"/>
        <v>24000</v>
      </c>
      <c r="J91" s="45" t="s">
        <v>55</v>
      </c>
    </row>
    <row r="92" spans="1:10" x14ac:dyDescent="0.3">
      <c r="A92" s="45" t="s">
        <v>159</v>
      </c>
      <c r="B92" s="46">
        <v>46051</v>
      </c>
      <c r="C92" s="9" t="str">
        <f t="shared" si="4"/>
        <v>Jan</v>
      </c>
      <c r="D92" s="45" t="s">
        <v>25</v>
      </c>
      <c r="E92" s="45" t="s">
        <v>39</v>
      </c>
      <c r="F92" s="45" t="s">
        <v>58</v>
      </c>
      <c r="G92" s="45">
        <v>7</v>
      </c>
      <c r="H92" s="15">
        <v>3350</v>
      </c>
      <c r="I92" s="10">
        <f t="shared" si="5"/>
        <v>23450</v>
      </c>
      <c r="J92" s="45" t="s">
        <v>72</v>
      </c>
    </row>
    <row r="93" spans="1:10" x14ac:dyDescent="0.3">
      <c r="A93" s="45" t="s">
        <v>160</v>
      </c>
      <c r="B93" s="46">
        <v>46029</v>
      </c>
      <c r="C93" s="9" t="str">
        <f t="shared" si="4"/>
        <v>Jan</v>
      </c>
      <c r="D93" s="45" t="s">
        <v>23</v>
      </c>
      <c r="E93" s="45" t="s">
        <v>37</v>
      </c>
      <c r="F93" s="45" t="s">
        <v>59</v>
      </c>
      <c r="G93" s="45">
        <v>5</v>
      </c>
      <c r="H93" s="15">
        <v>4050</v>
      </c>
      <c r="I93" s="10">
        <f t="shared" si="5"/>
        <v>20250</v>
      </c>
      <c r="J93" s="45" t="s">
        <v>55</v>
      </c>
    </row>
    <row r="94" spans="1:10" x14ac:dyDescent="0.3">
      <c r="A94" s="45" t="s">
        <v>161</v>
      </c>
      <c r="B94" s="46">
        <v>46059</v>
      </c>
      <c r="C94" s="9" t="str">
        <f t="shared" si="4"/>
        <v>Feb</v>
      </c>
      <c r="D94" s="45" t="s">
        <v>26</v>
      </c>
      <c r="E94" s="45" t="s">
        <v>41</v>
      </c>
      <c r="F94" s="45" t="s">
        <v>60</v>
      </c>
      <c r="G94" s="45">
        <v>1</v>
      </c>
      <c r="H94" s="15">
        <v>2400</v>
      </c>
      <c r="I94" s="10">
        <f t="shared" si="5"/>
        <v>2400</v>
      </c>
      <c r="J94" s="45" t="s">
        <v>55</v>
      </c>
    </row>
    <row r="95" spans="1:10" x14ac:dyDescent="0.3">
      <c r="A95" s="45" t="s">
        <v>162</v>
      </c>
      <c r="B95" s="46">
        <v>46106</v>
      </c>
      <c r="C95" s="9" t="str">
        <f t="shared" si="4"/>
        <v>Mar</v>
      </c>
      <c r="D95" s="45" t="s">
        <v>25</v>
      </c>
      <c r="E95" s="45" t="s">
        <v>38</v>
      </c>
      <c r="F95" s="45" t="s">
        <v>61</v>
      </c>
      <c r="G95" s="45">
        <v>12</v>
      </c>
      <c r="H95" s="15">
        <v>200</v>
      </c>
      <c r="I95" s="10">
        <f t="shared" si="5"/>
        <v>2400</v>
      </c>
      <c r="J95" s="45" t="s">
        <v>72</v>
      </c>
    </row>
    <row r="96" spans="1:10" x14ac:dyDescent="0.3">
      <c r="A96" s="45" t="s">
        <v>163</v>
      </c>
      <c r="B96" s="46">
        <v>46026</v>
      </c>
      <c r="C96" s="9" t="str">
        <f t="shared" si="4"/>
        <v>Jan</v>
      </c>
      <c r="D96" s="45" t="s">
        <v>25</v>
      </c>
      <c r="E96" s="45" t="s">
        <v>39</v>
      </c>
      <c r="F96" s="45" t="s">
        <v>60</v>
      </c>
      <c r="G96" s="45">
        <v>14</v>
      </c>
      <c r="H96" s="15">
        <v>2350</v>
      </c>
      <c r="I96" s="10">
        <f t="shared" si="5"/>
        <v>32900</v>
      </c>
      <c r="J96" s="45" t="s">
        <v>55</v>
      </c>
    </row>
    <row r="97" spans="1:10" x14ac:dyDescent="0.3">
      <c r="A97" s="45" t="s">
        <v>164</v>
      </c>
      <c r="B97" s="46">
        <v>46173</v>
      </c>
      <c r="C97" s="9" t="str">
        <f t="shared" si="4"/>
        <v>May</v>
      </c>
      <c r="D97" s="45" t="s">
        <v>21</v>
      </c>
      <c r="E97" s="45" t="s">
        <v>32</v>
      </c>
      <c r="F97" s="45" t="s">
        <v>60</v>
      </c>
      <c r="G97" s="45">
        <v>5</v>
      </c>
      <c r="H97" s="15">
        <v>2550</v>
      </c>
      <c r="I97" s="10">
        <f t="shared" si="5"/>
        <v>12750</v>
      </c>
      <c r="J97" s="45" t="s">
        <v>55</v>
      </c>
    </row>
    <row r="98" spans="1:10" x14ac:dyDescent="0.3">
      <c r="A98" s="45" t="s">
        <v>165</v>
      </c>
      <c r="B98" s="46">
        <v>46049</v>
      </c>
      <c r="C98" s="9" t="str">
        <f t="shared" ref="C98:C129" si="6">TEXT(B98,"mmm")</f>
        <v>Jan</v>
      </c>
      <c r="D98" s="45" t="s">
        <v>21</v>
      </c>
      <c r="E98" s="45" t="s">
        <v>32</v>
      </c>
      <c r="F98" s="45" t="s">
        <v>60</v>
      </c>
      <c r="G98" s="45">
        <v>5</v>
      </c>
      <c r="H98" s="15">
        <v>3200</v>
      </c>
      <c r="I98" s="10">
        <f t="shared" ref="I98:I129" si="7">G98*H98</f>
        <v>16000</v>
      </c>
      <c r="J98" s="45" t="s">
        <v>72</v>
      </c>
    </row>
    <row r="99" spans="1:10" x14ac:dyDescent="0.3">
      <c r="A99" s="45" t="s">
        <v>166</v>
      </c>
      <c r="B99" s="46">
        <v>46134</v>
      </c>
      <c r="C99" s="9" t="str">
        <f t="shared" si="6"/>
        <v>Apr</v>
      </c>
      <c r="D99" s="45" t="s">
        <v>25</v>
      </c>
      <c r="E99" s="45" t="s">
        <v>39</v>
      </c>
      <c r="F99" s="45" t="s">
        <v>58</v>
      </c>
      <c r="G99" s="45">
        <v>15</v>
      </c>
      <c r="H99" s="15">
        <v>2950</v>
      </c>
      <c r="I99" s="10">
        <f t="shared" si="7"/>
        <v>44250</v>
      </c>
      <c r="J99" s="45" t="s">
        <v>55</v>
      </c>
    </row>
    <row r="100" spans="1:10" x14ac:dyDescent="0.3">
      <c r="A100" s="45" t="s">
        <v>167</v>
      </c>
      <c r="B100" s="46">
        <v>46030</v>
      </c>
      <c r="C100" s="9" t="str">
        <f t="shared" si="6"/>
        <v>Jan</v>
      </c>
      <c r="D100" s="45" t="s">
        <v>26</v>
      </c>
      <c r="E100" s="45" t="s">
        <v>41</v>
      </c>
      <c r="F100" s="45" t="s">
        <v>58</v>
      </c>
      <c r="G100" s="45">
        <v>8</v>
      </c>
      <c r="H100" s="15">
        <v>4100</v>
      </c>
      <c r="I100" s="10">
        <f t="shared" si="7"/>
        <v>32800</v>
      </c>
      <c r="J100" s="45" t="s">
        <v>55</v>
      </c>
    </row>
    <row r="101" spans="1:10" x14ac:dyDescent="0.3">
      <c r="A101" s="45" t="s">
        <v>168</v>
      </c>
      <c r="B101" s="46">
        <v>46180</v>
      </c>
      <c r="C101" s="9" t="str">
        <f t="shared" si="6"/>
        <v>Jun</v>
      </c>
      <c r="D101" s="45" t="s">
        <v>23</v>
      </c>
      <c r="E101" s="45" t="s">
        <v>36</v>
      </c>
      <c r="F101" s="45" t="s">
        <v>60</v>
      </c>
      <c r="G101" s="45">
        <v>3</v>
      </c>
      <c r="H101" s="15">
        <v>2750</v>
      </c>
      <c r="I101" s="10">
        <f t="shared" si="7"/>
        <v>8250</v>
      </c>
      <c r="J101" s="45" t="s">
        <v>55</v>
      </c>
    </row>
    <row r="102" spans="1:10" x14ac:dyDescent="0.3">
      <c r="A102" s="45" t="s">
        <v>169</v>
      </c>
      <c r="B102" s="46">
        <v>46143</v>
      </c>
      <c r="C102" s="9" t="str">
        <f t="shared" si="6"/>
        <v>May</v>
      </c>
      <c r="D102" s="45" t="s">
        <v>26</v>
      </c>
      <c r="E102" s="45" t="s">
        <v>41</v>
      </c>
      <c r="F102" s="45" t="s">
        <v>60</v>
      </c>
      <c r="G102" s="45">
        <v>7</v>
      </c>
      <c r="H102" s="15">
        <v>2100</v>
      </c>
      <c r="I102" s="10">
        <f t="shared" si="7"/>
        <v>14700</v>
      </c>
      <c r="J102" s="45" t="s">
        <v>55</v>
      </c>
    </row>
    <row r="103" spans="1:10" x14ac:dyDescent="0.3">
      <c r="A103" s="45" t="s">
        <v>170</v>
      </c>
      <c r="B103" s="46">
        <v>46190</v>
      </c>
      <c r="C103" s="9" t="str">
        <f t="shared" si="6"/>
        <v>Jun</v>
      </c>
      <c r="D103" s="45" t="s">
        <v>23</v>
      </c>
      <c r="E103" s="45" t="s">
        <v>37</v>
      </c>
      <c r="F103" s="45" t="s">
        <v>60</v>
      </c>
      <c r="G103" s="45">
        <v>2</v>
      </c>
      <c r="H103" s="15">
        <v>2700</v>
      </c>
      <c r="I103" s="10">
        <f t="shared" si="7"/>
        <v>5400</v>
      </c>
      <c r="J103" s="45" t="s">
        <v>55</v>
      </c>
    </row>
    <row r="104" spans="1:10" x14ac:dyDescent="0.3">
      <c r="A104" s="45" t="s">
        <v>171</v>
      </c>
      <c r="B104" s="46">
        <v>46065</v>
      </c>
      <c r="C104" s="9" t="str">
        <f t="shared" si="6"/>
        <v>Feb</v>
      </c>
      <c r="D104" s="45" t="s">
        <v>23</v>
      </c>
      <c r="E104" s="45" t="s">
        <v>37</v>
      </c>
      <c r="F104" s="45" t="s">
        <v>59</v>
      </c>
      <c r="G104" s="45">
        <v>9</v>
      </c>
      <c r="H104" s="15">
        <v>3150</v>
      </c>
      <c r="I104" s="10">
        <f t="shared" si="7"/>
        <v>28350</v>
      </c>
      <c r="J104" s="45" t="s">
        <v>55</v>
      </c>
    </row>
    <row r="105" spans="1:10" x14ac:dyDescent="0.3">
      <c r="A105" s="45" t="s">
        <v>172</v>
      </c>
      <c r="B105" s="46">
        <v>46079</v>
      </c>
      <c r="C105" s="9" t="str">
        <f t="shared" si="6"/>
        <v>Feb</v>
      </c>
      <c r="D105" s="45" t="s">
        <v>26</v>
      </c>
      <c r="E105" s="45" t="s">
        <v>40</v>
      </c>
      <c r="F105" s="45" t="s">
        <v>60</v>
      </c>
      <c r="G105" s="45">
        <v>4</v>
      </c>
      <c r="H105" s="15">
        <v>2600</v>
      </c>
      <c r="I105" s="10">
        <f t="shared" si="7"/>
        <v>10400</v>
      </c>
      <c r="J105" s="45" t="s">
        <v>55</v>
      </c>
    </row>
    <row r="106" spans="1:10" x14ac:dyDescent="0.3">
      <c r="A106" s="45" t="s">
        <v>173</v>
      </c>
      <c r="B106" s="46">
        <v>46046</v>
      </c>
      <c r="C106" s="9" t="str">
        <f t="shared" si="6"/>
        <v>Jan</v>
      </c>
      <c r="D106" s="45" t="s">
        <v>23</v>
      </c>
      <c r="E106" s="45" t="s">
        <v>36</v>
      </c>
      <c r="F106" s="45" t="s">
        <v>60</v>
      </c>
      <c r="G106" s="45">
        <v>6</v>
      </c>
      <c r="H106" s="15">
        <v>2950</v>
      </c>
      <c r="I106" s="10">
        <f t="shared" si="7"/>
        <v>17700</v>
      </c>
      <c r="J106" s="45" t="s">
        <v>55</v>
      </c>
    </row>
    <row r="107" spans="1:10" x14ac:dyDescent="0.3">
      <c r="A107" s="45" t="s">
        <v>174</v>
      </c>
      <c r="B107" s="46">
        <v>46089</v>
      </c>
      <c r="C107" s="9" t="str">
        <f t="shared" si="6"/>
        <v>Mar</v>
      </c>
      <c r="D107" s="45" t="s">
        <v>23</v>
      </c>
      <c r="E107" s="45" t="s">
        <v>37</v>
      </c>
      <c r="F107" s="45" t="s">
        <v>59</v>
      </c>
      <c r="G107" s="45">
        <v>7</v>
      </c>
      <c r="H107" s="15">
        <v>4850</v>
      </c>
      <c r="I107" s="10">
        <f t="shared" si="7"/>
        <v>33950</v>
      </c>
      <c r="J107" s="45" t="s">
        <v>55</v>
      </c>
    </row>
    <row r="108" spans="1:10" x14ac:dyDescent="0.3">
      <c r="A108" s="45" t="s">
        <v>175</v>
      </c>
      <c r="B108" s="46">
        <v>46157</v>
      </c>
      <c r="C108" s="9" t="str">
        <f t="shared" si="6"/>
        <v>May</v>
      </c>
      <c r="D108" s="45" t="s">
        <v>23</v>
      </c>
      <c r="E108" s="45" t="s">
        <v>36</v>
      </c>
      <c r="F108" s="45" t="s">
        <v>61</v>
      </c>
      <c r="G108" s="45">
        <v>8</v>
      </c>
      <c r="H108" s="15">
        <v>350</v>
      </c>
      <c r="I108" s="10">
        <f t="shared" si="7"/>
        <v>2800</v>
      </c>
      <c r="J108" s="45" t="s">
        <v>55</v>
      </c>
    </row>
    <row r="109" spans="1:10" x14ac:dyDescent="0.3">
      <c r="A109" s="45" t="s">
        <v>176</v>
      </c>
      <c r="B109" s="46">
        <v>46094</v>
      </c>
      <c r="C109" s="9" t="str">
        <f t="shared" si="6"/>
        <v>Mar</v>
      </c>
      <c r="D109" s="45" t="s">
        <v>25</v>
      </c>
      <c r="E109" s="45" t="s">
        <v>38</v>
      </c>
      <c r="F109" s="45" t="s">
        <v>58</v>
      </c>
      <c r="G109" s="45">
        <v>2</v>
      </c>
      <c r="H109" s="15">
        <v>3950</v>
      </c>
      <c r="I109" s="10">
        <f t="shared" si="7"/>
        <v>7900</v>
      </c>
      <c r="J109" s="45" t="s">
        <v>55</v>
      </c>
    </row>
    <row r="110" spans="1:10" x14ac:dyDescent="0.3">
      <c r="A110" s="45" t="s">
        <v>177</v>
      </c>
      <c r="B110" s="46">
        <v>46092</v>
      </c>
      <c r="C110" s="9" t="str">
        <f t="shared" si="6"/>
        <v>Mar</v>
      </c>
      <c r="D110" s="45" t="s">
        <v>23</v>
      </c>
      <c r="E110" s="45" t="s">
        <v>37</v>
      </c>
      <c r="F110" s="45" t="s">
        <v>61</v>
      </c>
      <c r="G110" s="45">
        <v>5</v>
      </c>
      <c r="H110" s="15">
        <v>450</v>
      </c>
      <c r="I110" s="10">
        <f t="shared" si="7"/>
        <v>2250</v>
      </c>
      <c r="J110" s="45" t="s">
        <v>55</v>
      </c>
    </row>
    <row r="111" spans="1:10" x14ac:dyDescent="0.3">
      <c r="A111" s="45" t="s">
        <v>178</v>
      </c>
      <c r="B111" s="46">
        <v>46028</v>
      </c>
      <c r="C111" s="9" t="str">
        <f t="shared" si="6"/>
        <v>Jan</v>
      </c>
      <c r="D111" s="45" t="s">
        <v>23</v>
      </c>
      <c r="E111" s="45" t="s">
        <v>37</v>
      </c>
      <c r="F111" s="45" t="s">
        <v>59</v>
      </c>
      <c r="G111" s="45">
        <v>10</v>
      </c>
      <c r="H111" s="15">
        <v>3850</v>
      </c>
      <c r="I111" s="10">
        <f t="shared" si="7"/>
        <v>38500</v>
      </c>
      <c r="J111" s="45" t="s">
        <v>55</v>
      </c>
    </row>
    <row r="112" spans="1:10" x14ac:dyDescent="0.3">
      <c r="A112" s="45" t="s">
        <v>179</v>
      </c>
      <c r="B112" s="46">
        <v>46148</v>
      </c>
      <c r="C112" s="9" t="str">
        <f t="shared" si="6"/>
        <v>May</v>
      </c>
      <c r="D112" s="45" t="s">
        <v>21</v>
      </c>
      <c r="E112" s="45" t="s">
        <v>34</v>
      </c>
      <c r="F112" s="45" t="s">
        <v>59</v>
      </c>
      <c r="G112" s="45">
        <v>8</v>
      </c>
      <c r="H112" s="15">
        <v>3750</v>
      </c>
      <c r="I112" s="10">
        <f t="shared" si="7"/>
        <v>30000</v>
      </c>
      <c r="J112" s="45" t="s">
        <v>72</v>
      </c>
    </row>
    <row r="113" spans="1:10" x14ac:dyDescent="0.3">
      <c r="A113" s="45" t="s">
        <v>180</v>
      </c>
      <c r="B113" s="46">
        <v>46086</v>
      </c>
      <c r="C113" s="9" t="str">
        <f t="shared" si="6"/>
        <v>Mar</v>
      </c>
      <c r="D113" s="45" t="s">
        <v>21</v>
      </c>
      <c r="E113" s="45" t="s">
        <v>32</v>
      </c>
      <c r="F113" s="45" t="s">
        <v>58</v>
      </c>
      <c r="G113" s="45">
        <v>14</v>
      </c>
      <c r="H113" s="15">
        <v>2250</v>
      </c>
      <c r="I113" s="10">
        <f t="shared" si="7"/>
        <v>31500</v>
      </c>
      <c r="J113" s="45" t="s">
        <v>55</v>
      </c>
    </row>
    <row r="114" spans="1:10" x14ac:dyDescent="0.3">
      <c r="A114" s="45" t="s">
        <v>181</v>
      </c>
      <c r="B114" s="46">
        <v>46202</v>
      </c>
      <c r="C114" s="9" t="str">
        <f t="shared" si="6"/>
        <v>Jun</v>
      </c>
      <c r="D114" s="45" t="s">
        <v>26</v>
      </c>
      <c r="E114" s="45" t="s">
        <v>40</v>
      </c>
      <c r="F114" s="45" t="s">
        <v>59</v>
      </c>
      <c r="G114" s="45">
        <v>13</v>
      </c>
      <c r="H114" s="15">
        <v>4250</v>
      </c>
      <c r="I114" s="10">
        <f t="shared" si="7"/>
        <v>55250</v>
      </c>
      <c r="J114" s="45" t="s">
        <v>55</v>
      </c>
    </row>
    <row r="115" spans="1:10" x14ac:dyDescent="0.3">
      <c r="A115" s="45" t="s">
        <v>182</v>
      </c>
      <c r="B115" s="46">
        <v>46055</v>
      </c>
      <c r="C115" s="9" t="str">
        <f t="shared" si="6"/>
        <v>Feb</v>
      </c>
      <c r="D115" s="45" t="s">
        <v>23</v>
      </c>
      <c r="E115" s="45" t="s">
        <v>36</v>
      </c>
      <c r="F115" s="45" t="s">
        <v>59</v>
      </c>
      <c r="G115" s="45">
        <v>11</v>
      </c>
      <c r="H115" s="15">
        <v>4550</v>
      </c>
      <c r="I115" s="10">
        <f t="shared" si="7"/>
        <v>50050</v>
      </c>
      <c r="J115" s="45" t="s">
        <v>55</v>
      </c>
    </row>
    <row r="116" spans="1:10" x14ac:dyDescent="0.3">
      <c r="A116" s="45" t="s">
        <v>183</v>
      </c>
      <c r="B116" s="46">
        <v>46087</v>
      </c>
      <c r="C116" s="9" t="str">
        <f t="shared" si="6"/>
        <v>Mar</v>
      </c>
      <c r="D116" s="45" t="s">
        <v>26</v>
      </c>
      <c r="E116" s="45" t="s">
        <v>40</v>
      </c>
      <c r="F116" s="45" t="s">
        <v>59</v>
      </c>
      <c r="G116" s="45">
        <v>7</v>
      </c>
      <c r="H116" s="15">
        <v>2800</v>
      </c>
      <c r="I116" s="10">
        <f t="shared" si="7"/>
        <v>19600</v>
      </c>
      <c r="J116" s="45" t="s">
        <v>55</v>
      </c>
    </row>
    <row r="117" spans="1:10" x14ac:dyDescent="0.3">
      <c r="A117" s="45" t="s">
        <v>184</v>
      </c>
      <c r="B117" s="46">
        <v>46089</v>
      </c>
      <c r="C117" s="9" t="str">
        <f t="shared" si="6"/>
        <v>Mar</v>
      </c>
      <c r="D117" s="45" t="s">
        <v>23</v>
      </c>
      <c r="E117" s="45" t="s">
        <v>37</v>
      </c>
      <c r="F117" s="45" t="s">
        <v>59</v>
      </c>
      <c r="G117" s="45">
        <v>5</v>
      </c>
      <c r="H117" s="15">
        <v>2500</v>
      </c>
      <c r="I117" s="10">
        <f t="shared" si="7"/>
        <v>12500</v>
      </c>
      <c r="J117" s="45" t="s">
        <v>55</v>
      </c>
    </row>
    <row r="118" spans="1:10" x14ac:dyDescent="0.3">
      <c r="A118" s="45" t="s">
        <v>185</v>
      </c>
      <c r="B118" s="46">
        <v>46103</v>
      </c>
      <c r="C118" s="9" t="str">
        <f t="shared" si="6"/>
        <v>Mar</v>
      </c>
      <c r="D118" s="45" t="s">
        <v>23</v>
      </c>
      <c r="E118" s="45" t="s">
        <v>36</v>
      </c>
      <c r="F118" s="45" t="s">
        <v>61</v>
      </c>
      <c r="G118" s="45">
        <v>1</v>
      </c>
      <c r="H118" s="15">
        <v>550</v>
      </c>
      <c r="I118" s="10">
        <f t="shared" si="7"/>
        <v>550</v>
      </c>
      <c r="J118" s="45" t="s">
        <v>55</v>
      </c>
    </row>
    <row r="119" spans="1:10" x14ac:dyDescent="0.3">
      <c r="A119" s="45" t="s">
        <v>186</v>
      </c>
      <c r="B119" s="46">
        <v>46128</v>
      </c>
      <c r="C119" s="9" t="str">
        <f t="shared" si="6"/>
        <v>Apr</v>
      </c>
      <c r="D119" s="45" t="s">
        <v>25</v>
      </c>
      <c r="E119" s="45" t="s">
        <v>39</v>
      </c>
      <c r="F119" s="45" t="s">
        <v>59</v>
      </c>
      <c r="G119" s="45">
        <v>2</v>
      </c>
      <c r="H119" s="15">
        <v>2550</v>
      </c>
      <c r="I119" s="10">
        <f t="shared" si="7"/>
        <v>5100</v>
      </c>
      <c r="J119" s="45" t="s">
        <v>55</v>
      </c>
    </row>
    <row r="120" spans="1:10" x14ac:dyDescent="0.3">
      <c r="A120" s="45" t="s">
        <v>187</v>
      </c>
      <c r="B120" s="46">
        <v>46088</v>
      </c>
      <c r="C120" s="9" t="str">
        <f t="shared" si="6"/>
        <v>Mar</v>
      </c>
      <c r="D120" s="45" t="s">
        <v>23</v>
      </c>
      <c r="E120" s="45" t="s">
        <v>36</v>
      </c>
      <c r="F120" s="45" t="s">
        <v>61</v>
      </c>
      <c r="G120" s="45">
        <v>12</v>
      </c>
      <c r="H120" s="15">
        <v>400</v>
      </c>
      <c r="I120" s="10">
        <f t="shared" si="7"/>
        <v>4800</v>
      </c>
      <c r="J120" s="45" t="s">
        <v>55</v>
      </c>
    </row>
    <row r="121" spans="1:10" x14ac:dyDescent="0.3">
      <c r="A121" s="45" t="s">
        <v>188</v>
      </c>
      <c r="B121" s="46">
        <v>46109</v>
      </c>
      <c r="C121" s="9" t="str">
        <f t="shared" si="6"/>
        <v>Mar</v>
      </c>
      <c r="D121" s="45" t="s">
        <v>26</v>
      </c>
      <c r="E121" s="45" t="s">
        <v>40</v>
      </c>
      <c r="F121" s="45" t="s">
        <v>60</v>
      </c>
      <c r="G121" s="45">
        <v>13</v>
      </c>
      <c r="H121" s="15">
        <v>3350</v>
      </c>
      <c r="I121" s="10">
        <f t="shared" si="7"/>
        <v>43550</v>
      </c>
      <c r="J121" s="45" t="s">
        <v>55</v>
      </c>
    </row>
    <row r="122" spans="1:10" x14ac:dyDescent="0.3">
      <c r="A122" s="45" t="s">
        <v>189</v>
      </c>
      <c r="B122" s="46">
        <v>46097</v>
      </c>
      <c r="C122" s="9" t="str">
        <f t="shared" si="6"/>
        <v>Mar</v>
      </c>
      <c r="D122" s="45" t="s">
        <v>21</v>
      </c>
      <c r="E122" s="45" t="s">
        <v>34</v>
      </c>
      <c r="F122" s="45" t="s">
        <v>58</v>
      </c>
      <c r="G122" s="45">
        <v>13</v>
      </c>
      <c r="H122" s="15">
        <v>3350</v>
      </c>
      <c r="I122" s="10">
        <f t="shared" si="7"/>
        <v>43550</v>
      </c>
      <c r="J122" s="45" t="s">
        <v>72</v>
      </c>
    </row>
    <row r="123" spans="1:10" x14ac:dyDescent="0.3">
      <c r="A123" s="45" t="s">
        <v>190</v>
      </c>
      <c r="B123" s="46">
        <v>46072</v>
      </c>
      <c r="C123" s="9" t="str">
        <f t="shared" si="6"/>
        <v>Feb</v>
      </c>
      <c r="D123" s="45" t="s">
        <v>23</v>
      </c>
      <c r="E123" s="45" t="s">
        <v>37</v>
      </c>
      <c r="F123" s="45" t="s">
        <v>61</v>
      </c>
      <c r="G123" s="45">
        <v>2</v>
      </c>
      <c r="H123" s="15">
        <v>300</v>
      </c>
      <c r="I123" s="10">
        <f t="shared" si="7"/>
        <v>600</v>
      </c>
      <c r="J123" s="45" t="s">
        <v>55</v>
      </c>
    </row>
    <row r="124" spans="1:10" x14ac:dyDescent="0.3">
      <c r="A124" s="45" t="s">
        <v>191</v>
      </c>
      <c r="B124" s="46">
        <v>46182</v>
      </c>
      <c r="C124" s="9" t="str">
        <f t="shared" si="6"/>
        <v>Jun</v>
      </c>
      <c r="D124" s="45" t="s">
        <v>26</v>
      </c>
      <c r="E124" s="45" t="s">
        <v>40</v>
      </c>
      <c r="F124" s="45" t="s">
        <v>58</v>
      </c>
      <c r="G124" s="45">
        <v>10</v>
      </c>
      <c r="H124" s="15">
        <v>2500</v>
      </c>
      <c r="I124" s="10">
        <f t="shared" si="7"/>
        <v>25000</v>
      </c>
      <c r="J124" s="45" t="s">
        <v>55</v>
      </c>
    </row>
    <row r="125" spans="1:10" x14ac:dyDescent="0.3">
      <c r="A125" s="45" t="s">
        <v>192</v>
      </c>
      <c r="B125" s="46">
        <v>46060</v>
      </c>
      <c r="C125" s="9" t="str">
        <f t="shared" si="6"/>
        <v>Feb</v>
      </c>
      <c r="D125" s="45" t="s">
        <v>26</v>
      </c>
      <c r="E125" s="45" t="s">
        <v>40</v>
      </c>
      <c r="F125" s="45" t="s">
        <v>59</v>
      </c>
      <c r="G125" s="45">
        <v>7</v>
      </c>
      <c r="H125" s="15">
        <v>3150</v>
      </c>
      <c r="I125" s="10">
        <f t="shared" si="7"/>
        <v>22050</v>
      </c>
      <c r="J125" s="45" t="s">
        <v>55</v>
      </c>
    </row>
    <row r="126" spans="1:10" x14ac:dyDescent="0.3">
      <c r="A126" s="45" t="s">
        <v>193</v>
      </c>
      <c r="B126" s="46">
        <v>46036</v>
      </c>
      <c r="C126" s="9" t="str">
        <f t="shared" si="6"/>
        <v>Jan</v>
      </c>
      <c r="D126" s="45" t="s">
        <v>21</v>
      </c>
      <c r="E126" s="45" t="s">
        <v>34</v>
      </c>
      <c r="F126" s="45" t="s">
        <v>58</v>
      </c>
      <c r="G126" s="45">
        <v>12</v>
      </c>
      <c r="H126" s="15">
        <v>3050</v>
      </c>
      <c r="I126" s="10">
        <f t="shared" si="7"/>
        <v>36600</v>
      </c>
      <c r="J126" s="45" t="s">
        <v>55</v>
      </c>
    </row>
    <row r="127" spans="1:10" x14ac:dyDescent="0.3">
      <c r="A127" s="45" t="s">
        <v>194</v>
      </c>
      <c r="B127" s="46">
        <v>46051</v>
      </c>
      <c r="C127" s="9" t="str">
        <f t="shared" si="6"/>
        <v>Jan</v>
      </c>
      <c r="D127" s="45" t="s">
        <v>21</v>
      </c>
      <c r="E127" s="45" t="s">
        <v>34</v>
      </c>
      <c r="F127" s="45" t="s">
        <v>58</v>
      </c>
      <c r="G127" s="45">
        <v>1</v>
      </c>
      <c r="H127" s="15">
        <v>2850</v>
      </c>
      <c r="I127" s="10">
        <f t="shared" si="7"/>
        <v>2850</v>
      </c>
      <c r="J127" s="45" t="s">
        <v>55</v>
      </c>
    </row>
    <row r="128" spans="1:10" x14ac:dyDescent="0.3">
      <c r="A128" s="45" t="s">
        <v>195</v>
      </c>
      <c r="B128" s="46">
        <v>46102</v>
      </c>
      <c r="C128" s="9" t="str">
        <f t="shared" si="6"/>
        <v>Mar</v>
      </c>
      <c r="D128" s="45" t="s">
        <v>26</v>
      </c>
      <c r="E128" s="45" t="s">
        <v>40</v>
      </c>
      <c r="F128" s="45" t="s">
        <v>60</v>
      </c>
      <c r="G128" s="45">
        <v>1</v>
      </c>
      <c r="H128" s="15">
        <v>2250</v>
      </c>
      <c r="I128" s="10">
        <f t="shared" si="7"/>
        <v>2250</v>
      </c>
      <c r="J128" s="45" t="s">
        <v>55</v>
      </c>
    </row>
    <row r="129" spans="1:10" x14ac:dyDescent="0.3">
      <c r="A129" s="45" t="s">
        <v>196</v>
      </c>
      <c r="B129" s="46">
        <v>46043</v>
      </c>
      <c r="C129" s="9" t="str">
        <f t="shared" si="6"/>
        <v>Jan</v>
      </c>
      <c r="D129" s="45" t="s">
        <v>25</v>
      </c>
      <c r="E129" s="45" t="s">
        <v>38</v>
      </c>
      <c r="F129" s="45" t="s">
        <v>59</v>
      </c>
      <c r="G129" s="45">
        <v>9</v>
      </c>
      <c r="H129" s="15">
        <v>3600</v>
      </c>
      <c r="I129" s="10">
        <f t="shared" si="7"/>
        <v>32400</v>
      </c>
      <c r="J129" s="45" t="s">
        <v>55</v>
      </c>
    </row>
    <row r="130" spans="1:10" x14ac:dyDescent="0.3">
      <c r="A130" s="45" t="s">
        <v>197</v>
      </c>
      <c r="B130" s="46">
        <v>46076</v>
      </c>
      <c r="C130" s="9" t="str">
        <f t="shared" ref="C130:C161" si="8">TEXT(B130,"mmm")</f>
        <v>Feb</v>
      </c>
      <c r="D130" s="45" t="s">
        <v>26</v>
      </c>
      <c r="E130" s="45" t="s">
        <v>41</v>
      </c>
      <c r="F130" s="45" t="s">
        <v>60</v>
      </c>
      <c r="G130" s="45">
        <v>2</v>
      </c>
      <c r="H130" s="15">
        <v>2150</v>
      </c>
      <c r="I130" s="10">
        <f t="shared" ref="I130:I161" si="9">G130*H130</f>
        <v>4300</v>
      </c>
      <c r="J130" s="45" t="s">
        <v>55</v>
      </c>
    </row>
    <row r="131" spans="1:10" x14ac:dyDescent="0.3">
      <c r="A131" s="45" t="s">
        <v>198</v>
      </c>
      <c r="B131" s="46">
        <v>46035</v>
      </c>
      <c r="C131" s="9" t="str">
        <f t="shared" si="8"/>
        <v>Jan</v>
      </c>
      <c r="D131" s="45" t="s">
        <v>26</v>
      </c>
      <c r="E131" s="45" t="s">
        <v>41</v>
      </c>
      <c r="F131" s="45" t="s">
        <v>58</v>
      </c>
      <c r="G131" s="45">
        <v>4</v>
      </c>
      <c r="H131" s="15">
        <v>2950</v>
      </c>
      <c r="I131" s="10">
        <f t="shared" si="9"/>
        <v>11800</v>
      </c>
      <c r="J131" s="45" t="s">
        <v>55</v>
      </c>
    </row>
    <row r="132" spans="1:10" x14ac:dyDescent="0.3">
      <c r="A132" s="45" t="s">
        <v>199</v>
      </c>
      <c r="B132" s="46">
        <v>46105</v>
      </c>
      <c r="C132" s="9" t="str">
        <f t="shared" si="8"/>
        <v>Mar</v>
      </c>
      <c r="D132" s="45" t="s">
        <v>25</v>
      </c>
      <c r="E132" s="45" t="s">
        <v>38</v>
      </c>
      <c r="F132" s="45" t="s">
        <v>61</v>
      </c>
      <c r="G132" s="45">
        <v>13</v>
      </c>
      <c r="H132" s="15">
        <v>150</v>
      </c>
      <c r="I132" s="10">
        <f t="shared" si="9"/>
        <v>1950</v>
      </c>
      <c r="J132" s="45" t="s">
        <v>55</v>
      </c>
    </row>
    <row r="133" spans="1:10" x14ac:dyDescent="0.3">
      <c r="A133" s="45" t="s">
        <v>200</v>
      </c>
      <c r="B133" s="46">
        <v>46183</v>
      </c>
      <c r="C133" s="9" t="str">
        <f t="shared" si="8"/>
        <v>Jun</v>
      </c>
      <c r="D133" s="45" t="s">
        <v>26</v>
      </c>
      <c r="E133" s="45" t="s">
        <v>40</v>
      </c>
      <c r="F133" s="45" t="s">
        <v>59</v>
      </c>
      <c r="G133" s="45">
        <v>13</v>
      </c>
      <c r="H133" s="15">
        <v>3700</v>
      </c>
      <c r="I133" s="10">
        <f t="shared" si="9"/>
        <v>48100</v>
      </c>
      <c r="J133" s="45" t="s">
        <v>55</v>
      </c>
    </row>
    <row r="134" spans="1:10" x14ac:dyDescent="0.3">
      <c r="A134" s="45" t="s">
        <v>201</v>
      </c>
      <c r="B134" s="46">
        <v>46038</v>
      </c>
      <c r="C134" s="9" t="str">
        <f t="shared" si="8"/>
        <v>Jan</v>
      </c>
      <c r="D134" s="45" t="s">
        <v>25</v>
      </c>
      <c r="E134" s="45" t="s">
        <v>39</v>
      </c>
      <c r="F134" s="45" t="s">
        <v>58</v>
      </c>
      <c r="G134" s="45">
        <v>6</v>
      </c>
      <c r="H134" s="15">
        <v>4150</v>
      </c>
      <c r="I134" s="10">
        <f t="shared" si="9"/>
        <v>24900</v>
      </c>
      <c r="J134" s="45" t="s">
        <v>55</v>
      </c>
    </row>
    <row r="135" spans="1:10" x14ac:dyDescent="0.3">
      <c r="A135" s="45" t="s">
        <v>202</v>
      </c>
      <c r="B135" s="46">
        <v>46092</v>
      </c>
      <c r="C135" s="9" t="str">
        <f t="shared" si="8"/>
        <v>Mar</v>
      </c>
      <c r="D135" s="45" t="s">
        <v>25</v>
      </c>
      <c r="E135" s="45" t="s">
        <v>39</v>
      </c>
      <c r="F135" s="45" t="s">
        <v>59</v>
      </c>
      <c r="G135" s="45">
        <v>15</v>
      </c>
      <c r="H135" s="15">
        <v>3300</v>
      </c>
      <c r="I135" s="10">
        <f t="shared" si="9"/>
        <v>49500</v>
      </c>
      <c r="J135" s="45" t="s">
        <v>55</v>
      </c>
    </row>
    <row r="136" spans="1:10" x14ac:dyDescent="0.3">
      <c r="A136" s="45" t="s">
        <v>203</v>
      </c>
      <c r="B136" s="46">
        <v>46093</v>
      </c>
      <c r="C136" s="9" t="str">
        <f t="shared" si="8"/>
        <v>Mar</v>
      </c>
      <c r="D136" s="45" t="s">
        <v>25</v>
      </c>
      <c r="E136" s="45" t="s">
        <v>38</v>
      </c>
      <c r="F136" s="45" t="s">
        <v>59</v>
      </c>
      <c r="G136" s="45">
        <v>1</v>
      </c>
      <c r="H136" s="15">
        <v>4800</v>
      </c>
      <c r="I136" s="10">
        <f t="shared" si="9"/>
        <v>4800</v>
      </c>
      <c r="J136" s="45" t="s">
        <v>55</v>
      </c>
    </row>
    <row r="137" spans="1:10" x14ac:dyDescent="0.3">
      <c r="A137" s="45" t="s">
        <v>204</v>
      </c>
      <c r="B137" s="46">
        <v>46082</v>
      </c>
      <c r="C137" s="9" t="str">
        <f t="shared" si="8"/>
        <v>Mar</v>
      </c>
      <c r="D137" s="45" t="s">
        <v>21</v>
      </c>
      <c r="E137" s="45" t="s">
        <v>34</v>
      </c>
      <c r="F137" s="45" t="s">
        <v>61</v>
      </c>
      <c r="G137" s="45">
        <v>13</v>
      </c>
      <c r="H137" s="15">
        <v>500</v>
      </c>
      <c r="I137" s="10">
        <f t="shared" si="9"/>
        <v>6500</v>
      </c>
      <c r="J137" s="45" t="s">
        <v>72</v>
      </c>
    </row>
    <row r="138" spans="1:10" x14ac:dyDescent="0.3">
      <c r="A138" s="45" t="s">
        <v>205</v>
      </c>
      <c r="B138" s="46">
        <v>46087</v>
      </c>
      <c r="C138" s="9" t="str">
        <f t="shared" si="8"/>
        <v>Mar</v>
      </c>
      <c r="D138" s="45" t="s">
        <v>26</v>
      </c>
      <c r="E138" s="45" t="s">
        <v>40</v>
      </c>
      <c r="F138" s="45" t="s">
        <v>61</v>
      </c>
      <c r="G138" s="45">
        <v>1</v>
      </c>
      <c r="H138" s="15">
        <v>250</v>
      </c>
      <c r="I138" s="10">
        <f t="shared" si="9"/>
        <v>250</v>
      </c>
      <c r="J138" s="45" t="s">
        <v>72</v>
      </c>
    </row>
    <row r="139" spans="1:10" x14ac:dyDescent="0.3">
      <c r="A139" s="45" t="s">
        <v>206</v>
      </c>
      <c r="B139" s="46">
        <v>46100</v>
      </c>
      <c r="C139" s="9" t="str">
        <f t="shared" si="8"/>
        <v>Mar</v>
      </c>
      <c r="D139" s="45" t="s">
        <v>23</v>
      </c>
      <c r="E139" s="45" t="s">
        <v>37</v>
      </c>
      <c r="F139" s="45" t="s">
        <v>58</v>
      </c>
      <c r="G139" s="45">
        <v>6</v>
      </c>
      <c r="H139" s="15">
        <v>2800</v>
      </c>
      <c r="I139" s="10">
        <f t="shared" si="9"/>
        <v>16800</v>
      </c>
      <c r="J139" s="45" t="s">
        <v>55</v>
      </c>
    </row>
    <row r="140" spans="1:10" x14ac:dyDescent="0.3">
      <c r="A140" s="45" t="s">
        <v>207</v>
      </c>
      <c r="B140" s="46">
        <v>46175</v>
      </c>
      <c r="C140" s="9" t="str">
        <f t="shared" si="8"/>
        <v>Jun</v>
      </c>
      <c r="D140" s="45" t="s">
        <v>21</v>
      </c>
      <c r="E140" s="45" t="s">
        <v>32</v>
      </c>
      <c r="F140" s="45" t="s">
        <v>58</v>
      </c>
      <c r="G140" s="45">
        <v>7</v>
      </c>
      <c r="H140" s="15">
        <v>3050</v>
      </c>
      <c r="I140" s="10">
        <f t="shared" si="9"/>
        <v>21350</v>
      </c>
      <c r="J140" s="45" t="s">
        <v>55</v>
      </c>
    </row>
    <row r="141" spans="1:10" x14ac:dyDescent="0.3">
      <c r="A141" s="45" t="s">
        <v>208</v>
      </c>
      <c r="B141" s="46">
        <v>46039</v>
      </c>
      <c r="C141" s="9" t="str">
        <f t="shared" si="8"/>
        <v>Jan</v>
      </c>
      <c r="D141" s="45" t="s">
        <v>21</v>
      </c>
      <c r="E141" s="45" t="s">
        <v>32</v>
      </c>
      <c r="F141" s="45" t="s">
        <v>61</v>
      </c>
      <c r="G141" s="45">
        <v>7</v>
      </c>
      <c r="H141" s="15">
        <v>550</v>
      </c>
      <c r="I141" s="10">
        <f t="shared" si="9"/>
        <v>3850</v>
      </c>
      <c r="J141" s="45" t="s">
        <v>55</v>
      </c>
    </row>
    <row r="142" spans="1:10" x14ac:dyDescent="0.3">
      <c r="A142" s="45" t="s">
        <v>209</v>
      </c>
      <c r="B142" s="46">
        <v>46049</v>
      </c>
      <c r="C142" s="9" t="str">
        <f t="shared" si="8"/>
        <v>Jan</v>
      </c>
      <c r="D142" s="45" t="s">
        <v>21</v>
      </c>
      <c r="E142" s="45" t="s">
        <v>32</v>
      </c>
      <c r="F142" s="45" t="s">
        <v>60</v>
      </c>
      <c r="G142" s="45">
        <v>7</v>
      </c>
      <c r="H142" s="15">
        <v>3150</v>
      </c>
      <c r="I142" s="10">
        <f t="shared" si="9"/>
        <v>22050</v>
      </c>
      <c r="J142" s="45" t="s">
        <v>55</v>
      </c>
    </row>
    <row r="143" spans="1:10" x14ac:dyDescent="0.3">
      <c r="A143" s="45" t="s">
        <v>210</v>
      </c>
      <c r="B143" s="46">
        <v>46150</v>
      </c>
      <c r="C143" s="9" t="str">
        <f t="shared" si="8"/>
        <v>May</v>
      </c>
      <c r="D143" s="45" t="s">
        <v>26</v>
      </c>
      <c r="E143" s="45" t="s">
        <v>41</v>
      </c>
      <c r="F143" s="45" t="s">
        <v>58</v>
      </c>
      <c r="G143" s="45">
        <v>10</v>
      </c>
      <c r="H143" s="15">
        <v>2500</v>
      </c>
      <c r="I143" s="10">
        <f t="shared" si="9"/>
        <v>25000</v>
      </c>
      <c r="J143" s="45" t="s">
        <v>55</v>
      </c>
    </row>
    <row r="144" spans="1:10" x14ac:dyDescent="0.3">
      <c r="A144" s="45" t="s">
        <v>211</v>
      </c>
      <c r="B144" s="46">
        <v>46195</v>
      </c>
      <c r="C144" s="9" t="str">
        <f t="shared" si="8"/>
        <v>Jun</v>
      </c>
      <c r="D144" s="45" t="s">
        <v>23</v>
      </c>
      <c r="E144" s="45" t="s">
        <v>37</v>
      </c>
      <c r="F144" s="45" t="s">
        <v>59</v>
      </c>
      <c r="G144" s="45">
        <v>5</v>
      </c>
      <c r="H144" s="15">
        <v>4950</v>
      </c>
      <c r="I144" s="10">
        <f t="shared" si="9"/>
        <v>24750</v>
      </c>
      <c r="J144" s="45" t="s">
        <v>55</v>
      </c>
    </row>
    <row r="145" spans="1:10" x14ac:dyDescent="0.3">
      <c r="A145" s="45" t="s">
        <v>212</v>
      </c>
      <c r="B145" s="46">
        <v>46168</v>
      </c>
      <c r="C145" s="9" t="str">
        <f t="shared" si="8"/>
        <v>May</v>
      </c>
      <c r="D145" s="45" t="s">
        <v>25</v>
      </c>
      <c r="E145" s="45" t="s">
        <v>38</v>
      </c>
      <c r="F145" s="45" t="s">
        <v>60</v>
      </c>
      <c r="G145" s="45">
        <v>8</v>
      </c>
      <c r="H145" s="15">
        <v>2000</v>
      </c>
      <c r="I145" s="10">
        <f t="shared" si="9"/>
        <v>16000</v>
      </c>
      <c r="J145" s="45" t="s">
        <v>55</v>
      </c>
    </row>
    <row r="146" spans="1:10" x14ac:dyDescent="0.3">
      <c r="A146" s="45" t="s">
        <v>213</v>
      </c>
      <c r="B146" s="46">
        <v>46086</v>
      </c>
      <c r="C146" s="9" t="str">
        <f t="shared" si="8"/>
        <v>Mar</v>
      </c>
      <c r="D146" s="45" t="s">
        <v>23</v>
      </c>
      <c r="E146" s="45" t="s">
        <v>36</v>
      </c>
      <c r="F146" s="45" t="s">
        <v>58</v>
      </c>
      <c r="G146" s="45">
        <v>6</v>
      </c>
      <c r="H146" s="15">
        <v>2550</v>
      </c>
      <c r="I146" s="10">
        <f t="shared" si="9"/>
        <v>15300</v>
      </c>
      <c r="J146" s="45" t="s">
        <v>55</v>
      </c>
    </row>
    <row r="147" spans="1:10" x14ac:dyDescent="0.3">
      <c r="A147" s="45" t="s">
        <v>214</v>
      </c>
      <c r="B147" s="46">
        <v>46039</v>
      </c>
      <c r="C147" s="9" t="str">
        <f t="shared" si="8"/>
        <v>Jan</v>
      </c>
      <c r="D147" s="45" t="s">
        <v>26</v>
      </c>
      <c r="E147" s="45" t="s">
        <v>40</v>
      </c>
      <c r="F147" s="45" t="s">
        <v>60</v>
      </c>
      <c r="G147" s="45">
        <v>11</v>
      </c>
      <c r="H147" s="15">
        <v>1950</v>
      </c>
      <c r="I147" s="10">
        <f t="shared" si="9"/>
        <v>21450</v>
      </c>
      <c r="J147" s="45" t="s">
        <v>55</v>
      </c>
    </row>
    <row r="148" spans="1:10" x14ac:dyDescent="0.3">
      <c r="A148" s="45" t="s">
        <v>215</v>
      </c>
      <c r="B148" s="46">
        <v>46048</v>
      </c>
      <c r="C148" s="9" t="str">
        <f t="shared" si="8"/>
        <v>Jan</v>
      </c>
      <c r="D148" s="45" t="s">
        <v>26</v>
      </c>
      <c r="E148" s="45" t="s">
        <v>40</v>
      </c>
      <c r="F148" s="45" t="s">
        <v>59</v>
      </c>
      <c r="G148" s="45">
        <v>14</v>
      </c>
      <c r="H148" s="15">
        <v>2800</v>
      </c>
      <c r="I148" s="10">
        <f t="shared" si="9"/>
        <v>39200</v>
      </c>
      <c r="J148" s="45" t="s">
        <v>55</v>
      </c>
    </row>
    <row r="149" spans="1:10" x14ac:dyDescent="0.3">
      <c r="A149" s="45" t="s">
        <v>216</v>
      </c>
      <c r="B149" s="46">
        <v>46137</v>
      </c>
      <c r="C149" s="9" t="str">
        <f t="shared" si="8"/>
        <v>Apr</v>
      </c>
      <c r="D149" s="45" t="s">
        <v>25</v>
      </c>
      <c r="E149" s="45" t="s">
        <v>38</v>
      </c>
      <c r="F149" s="45" t="s">
        <v>59</v>
      </c>
      <c r="G149" s="45">
        <v>4</v>
      </c>
      <c r="H149" s="15">
        <v>3400</v>
      </c>
      <c r="I149" s="10">
        <f t="shared" si="9"/>
        <v>13600</v>
      </c>
      <c r="J149" s="45" t="s">
        <v>55</v>
      </c>
    </row>
    <row r="150" spans="1:10" x14ac:dyDescent="0.3">
      <c r="A150" s="45" t="s">
        <v>217</v>
      </c>
      <c r="B150" s="46">
        <v>46176</v>
      </c>
      <c r="C150" s="9" t="str">
        <f t="shared" si="8"/>
        <v>Jun</v>
      </c>
      <c r="D150" s="45" t="s">
        <v>23</v>
      </c>
      <c r="E150" s="45" t="s">
        <v>36</v>
      </c>
      <c r="F150" s="45" t="s">
        <v>59</v>
      </c>
      <c r="G150" s="45">
        <v>8</v>
      </c>
      <c r="H150" s="15">
        <v>3650</v>
      </c>
      <c r="I150" s="10">
        <f t="shared" si="9"/>
        <v>29200</v>
      </c>
      <c r="J150" s="45" t="s">
        <v>55</v>
      </c>
    </row>
    <row r="151" spans="1:10" x14ac:dyDescent="0.3">
      <c r="A151" s="45" t="s">
        <v>218</v>
      </c>
      <c r="B151" s="46">
        <v>46177</v>
      </c>
      <c r="C151" s="9" t="str">
        <f t="shared" si="8"/>
        <v>Jun</v>
      </c>
      <c r="D151" s="45" t="s">
        <v>25</v>
      </c>
      <c r="E151" s="45" t="s">
        <v>39</v>
      </c>
      <c r="F151" s="45" t="s">
        <v>59</v>
      </c>
      <c r="G151" s="45">
        <v>4</v>
      </c>
      <c r="H151" s="15">
        <v>2800</v>
      </c>
      <c r="I151" s="10">
        <f t="shared" si="9"/>
        <v>11200</v>
      </c>
      <c r="J151" s="45" t="s">
        <v>55</v>
      </c>
    </row>
  </sheetData>
  <autoFilter ref="A1:J151" xr:uid="{00000000-0009-0000-0000-000002000000}"/>
  <dataValidations count="1">
    <dataValidation type="list" errorTitle="Invalid status" error="Pick Closed or Cancelled" sqref="J2:J151" xr:uid="{00000000-0002-0000-0200-000000000000}">
      <formula1>"Closed,Cancelled"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Sujay Patade</cp:lastModifiedBy>
  <cp:revision>2</cp:revision>
  <dcterms:created xsi:type="dcterms:W3CDTF">2026-10-19T08:03:18Z</dcterms:created>
  <dcterms:modified xsi:type="dcterms:W3CDTF">2026-10-19T08:13:06Z</dcterms:modified>
  <dc:language>en-US</dc:language>
</cp:coreProperties>
</file>